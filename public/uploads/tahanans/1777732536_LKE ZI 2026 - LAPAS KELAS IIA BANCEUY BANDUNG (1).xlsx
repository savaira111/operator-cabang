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180" activeTab="1"/>
  </bookViews>
  <sheets>
    <sheet name="Utama" sheetId="1" r:id="rId1"/>
    <sheet name="Jawaban" sheetId="2" r:id="rId2"/>
    <sheet name="Jawaban dari Kanwil" sheetId="3" r:id="rId3"/>
    <sheet name="Jawaban dari Unit Eselon I" sheetId="4" r:id="rId4"/>
    <sheet name="PANDUAN"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<sst xmlns="http://schemas.openxmlformats.org/spreadsheetml/2006/main" count="2982" uniqueCount="613">
  <si>
    <t>ELEKTRONIK LEMBAR KERJA EVALUASI ZONA INTEGRITAS (e-LKE ZI)
PADA LEMBAGA PEMASYARAKATAN KELAS IIA BANCEUY BANDUNG</t>
  </si>
  <si>
    <t>WBBM</t>
  </si>
  <si>
    <t>Area Perubahan</t>
  </si>
  <si>
    <t>Bobot</t>
  </si>
  <si>
    <t>Pemenuhan</t>
  </si>
  <si>
    <t>Reform</t>
  </si>
  <si>
    <t>Nilai</t>
  </si>
  <si>
    <t xml:space="preserve"> %</t>
  </si>
  <si>
    <t>Pemenuhan Nilai Min</t>
  </si>
  <si>
    <t>A.</t>
  </si>
  <si>
    <t>PENGUNGKIT</t>
  </si>
  <si>
    <t>1.</t>
  </si>
  <si>
    <t>MANAJEMEN PERUBAHAN</t>
  </si>
  <si>
    <t>2.</t>
  </si>
  <si>
    <t>PENATAAN TATALAKSANA</t>
  </si>
  <si>
    <t>3.</t>
  </si>
  <si>
    <t>PENATAAN SISTEM MANAJEMEN SDM APARATUR</t>
  </si>
  <si>
    <t>4.</t>
  </si>
  <si>
    <t>PENGUATAN AKUNTABILITAS</t>
  </si>
  <si>
    <t>5.</t>
  </si>
  <si>
    <t>PENGUATAN PENGAWASAN</t>
  </si>
  <si>
    <t>6.</t>
  </si>
  <si>
    <t>PENINGKATAN KUALITAS PELAYANAN PUBLIK</t>
  </si>
  <si>
    <t>TOTAL PENGUNGKIT</t>
  </si>
  <si>
    <t>B.</t>
  </si>
  <si>
    <t>HASIL</t>
  </si>
  <si>
    <t>I.</t>
  </si>
  <si>
    <t>BIROKRASI YANG BERSIH DAN AKUNTABEL</t>
  </si>
  <si>
    <t>a</t>
  </si>
  <si>
    <t>Nilai Survey Persepsi Korupsi (Survei Eksternal :
Indeks Persepsi Anti Korupsi/ IPAK)</t>
  </si>
  <si>
    <t>b</t>
  </si>
  <si>
    <t>Capaian Kinerja Lebih Baik dari pada Capaian Kinerja Sebelumnya</t>
  </si>
  <si>
    <t>II.</t>
  </si>
  <si>
    <t>PELAYANAN PUBLIK YANG PRIMA</t>
  </si>
  <si>
    <t>-</t>
  </si>
  <si>
    <t>Nilai Persepsi Kualitas Pelayanan (Survei Eksternal :
Indeks Persepsi Kualitas Pelayanan Publik / IPKP)</t>
  </si>
  <si>
    <t>TOTAL HASIL</t>
  </si>
  <si>
    <t>NILAI EVALUASI REFORMASI BIROKRASI</t>
  </si>
  <si>
    <t>Penilaian</t>
  </si>
  <si>
    <t>Kriteria Nilai</t>
  </si>
  <si>
    <t>Pilihan Jawaban</t>
  </si>
  <si>
    <t>Jawaban
Unit</t>
  </si>
  <si>
    <t>Catatan/Keterangan/Penjelasan
Unit</t>
  </si>
  <si>
    <t>Bukti Dukung
Unit</t>
  </si>
  <si>
    <t>Jawaban TPI</t>
  </si>
  <si>
    <t>Catatan/Keterangan/Penjelasan
Evaluasi TPI</t>
  </si>
  <si>
    <t>Link Google Drive Data Dukung B03</t>
  </si>
  <si>
    <t>Link Google Drive Data Dukung B06</t>
  </si>
  <si>
    <t>Link Google Drive Data Dukung B09</t>
  </si>
  <si>
    <t>Link Google Drive Data Dukung B12</t>
  </si>
  <si>
    <t>Link Google Drive Data Dukung B12 Tahun Sebelumnya</t>
  </si>
  <si>
    <t>PEMENUHAN</t>
  </si>
  <si>
    <t>i.</t>
  </si>
  <si>
    <t>Penyusunan Tim Kerja</t>
  </si>
  <si>
    <t>a.</t>
  </si>
  <si>
    <t>Unit kerja telah membentuk tim untuk melakukan pembangunan Zona Integritas.</t>
  </si>
  <si>
    <t>Ya, jika Tim telah dibentuk di dalam unit kerja.</t>
  </si>
  <si>
    <t>Ya/Tidak</t>
  </si>
  <si>
    <t>Ya</t>
  </si>
  <si>
    <t xml:space="preserve">1. SK Tim Kerja Pembangunan ZI Menuju WBK/WBBM;
2. SK Perubahan atas SK Tim Kerja Pembangunan ZI Menuju 
    WBK/WBBM (jika ada); 
3. SK Perubahan (Kedua, Ketiga, dst) atas SK Tim Kerja 
    Pembangunan ZI Menuju WBK/WBBM (jika ada).
Keterangan: Apabila ada penggantian Kepala Satuan Kerja ditambahkan dengan SK Tim Baru.
</t>
  </si>
  <si>
    <t>a. Unit kerja telah membentuk tim untuk melakukan pembangunan Zona Integritas.</t>
  </si>
  <si>
    <t>b.</t>
  </si>
  <si>
    <t>Penentuan anggota Tim dipilih melalui prosedur/mekanisme yang jelas.</t>
  </si>
  <si>
    <t>a. Jika dengan prosedur/mekanisme yang jelas 
    dan mewakili seluruh unsur dalam unit 
    kerja.
b. Jika sebagian menggunakan prosedur yang 
    mewakili sebagian besar unsur dalam unit 
    kerja.
c. Jika tidak di seleksi.</t>
  </si>
  <si>
    <t>A/B/C</t>
  </si>
  <si>
    <t>A</t>
  </si>
  <si>
    <t>Dokumen Kegiatan Rapat Tim Kerja:
1. undangan rapat;
2. daftar hadir;
3. notula dan dokumentasi foto;
4. SK Tim Seleksi;
5. berita acara;
6. laporan pelaksanaan seleksi anggota tim kerja;
7. Daftar Riwayat Hidup dan Daftar Riwayat Pekerjaan (diunduh 
    melalui aplikasi STAR ASN KemenIMIPAS).</t>
  </si>
  <si>
    <t>b. Penentuan anggota Tim dipilih melalui prosedur/mekanisme yang jelas.</t>
  </si>
  <si>
    <t>ii.</t>
  </si>
  <si>
    <t xml:space="preserve"> Rencana Pembangunan Zona Integritas </t>
  </si>
  <si>
    <t>Terdapat dokumen rencana kerja pembangunan Zona Integritas menuju WBK/WBBM.</t>
  </si>
  <si>
    <t>Ya, jika memiliki  rencana kerja pembangunan Zona Integritas.</t>
  </si>
  <si>
    <t>Dokumen kegiatan Rapat Penetapan Rencana Kerja dan Target Prioritas:
1. Undangan rapat;
2. daftar hadir;
3. notula dan dokumentasi foto;
4. laporan kegiatan rapat penetapan Rencana Kerja;
5. SK tentang Rencana Kerja dan Target Prioritas 
    Pembangunan ZI menuju WBK/WBBM satuan kerja 
    yang ditandatangani oleh Kepala Satuan Kerja.</t>
  </si>
  <si>
    <t>a. Terdapat dokumen rencana kerja pembangunan Zona Integritas menuju WBK/WBBM.</t>
  </si>
  <si>
    <t>Dalam dokumen pembangunan terdapat target-target prioritas yang relevan dengan tujuan pembangunan WBK/WBBM.</t>
  </si>
  <si>
    <t>a. Jika semua target-target prioritas relevan 
    dengan tujuan pembangunan WBK/WBBM.
b. Jika sebagian target-target prioritas relevan 
    dengan tujuan pembangunan WBK/WBBM.
c. Jika tidak ada target-target prioritas yang 
    relevan dengan tujuan pembangunan 
    WBK/WBBM.</t>
  </si>
  <si>
    <t>Dokumen kegiatan rapat penetapan Rencana Kerja dan Target Prioritas:
1. undangan rapat;
2. daftar hadir;
3. notula dan dokumentasi foto;
4. laporan kegiatan rapat penetapan Rencana Kerja;
5. SK tentang Rencana Kerja dan Target Prioritas 
    Pembangunan ZI menuju WBK/WBBM satuan kerja 
    yang ditandatangani oleh Kepala Satuan Kerja.</t>
  </si>
  <si>
    <t>b. Dalam dokumen pembangunan terdapat target-target prioritas yang relevan dengan tujuan pembangunan WBK/WBBM.</t>
  </si>
  <si>
    <t>c.</t>
  </si>
  <si>
    <t>Terdapat mekanisme atau media untuk mensosialisasikan pembangunan WBK/WBBM.</t>
  </si>
  <si>
    <r>
      <rPr>
        <sz val="12"/>
        <color theme="1"/>
        <rFont val="Bookman Old Style"/>
        <charset val="134"/>
      </rPr>
      <t xml:space="preserve">a. Jika telah dilakukan pengelolaan media/ 
    aktivitas interaktif yang efektif untuk 
    menginformasikan pembangunan ZI kepada 
    internal dan </t>
    </r>
    <r>
      <rPr>
        <i/>
        <sz val="12"/>
        <color theme="1"/>
        <rFont val="Bookman Old Style"/>
        <charset val="134"/>
      </rPr>
      <t>stakeholder</t>
    </r>
    <r>
      <rPr>
        <sz val="12"/>
        <color theme="1"/>
        <rFont val="Bookman Old Style"/>
        <charset val="134"/>
      </rPr>
      <t xml:space="preserve"> secara berkala.
b. Jika pengelolaan media/aktivitas interaktif 
    dilakukan secara terbatas dan tidak secara 
    berkala.
c. Jika pengelolaan media/aktivitas interaktif 
    belum dilakukan.</t>
    </r>
  </si>
  <si>
    <r>
      <rPr>
        <b/>
        <sz val="12"/>
        <color theme="1"/>
        <rFont val="Bookman Old Style"/>
        <charset val="134"/>
      </rPr>
      <t>B03:</t>
    </r>
    <r>
      <rPr>
        <sz val="12"/>
        <color theme="1"/>
        <rFont val="Bookman Old Style"/>
        <charset val="134"/>
      </rPr>
      <t xml:space="preserve">
1. Dokumen laporan pelaksanaan kegiatan Pencanangan 
    Zona Integritas, yaitu:
    a. Kegiatan Ekternal
        Pencanangan Zona Integritas melampirkan Foto, 
        Laporan Kegiatan dan </t>
    </r>
    <r>
      <rPr>
        <i/>
        <sz val="12"/>
        <color theme="1"/>
        <rFont val="Bookman Old Style"/>
        <charset val="134"/>
      </rPr>
      <t>Press release.</t>
    </r>
    <r>
      <rPr>
        <sz val="12"/>
        <color theme="1"/>
        <rFont val="Bookman Old Style"/>
        <charset val="134"/>
      </rPr>
      <t xml:space="preserve">
    b. Kegiatan Internal
        1) Dokumen Perjanjian Kinerja;
        2) Dokumen Penandatanganan Pakta Integritas 
            antara Kepala Satuan Kerja dengan jajaran 
            struktural dibawahnya;
        3) Dokumen Pakta Integritas antara jajaran
            Struktural dalam satuan kerja dengan pegawai.
</t>
    </r>
    <r>
      <rPr>
        <b/>
        <sz val="12"/>
        <color theme="1"/>
        <rFont val="Bookman Old Style"/>
        <charset val="134"/>
      </rPr>
      <t>B03, B06, B09, B12:</t>
    </r>
    <r>
      <rPr>
        <sz val="12"/>
        <color theme="1"/>
        <rFont val="Bookman Old Style"/>
        <charset val="134"/>
      </rPr>
      <t xml:space="preserve">
2. Dokumen kegiatan sosialisasi Kepala satuan kerja/ 
    internalisasi/pembinaan/pendampingan terkait 
    Pembangunan ZI menuju WBK/WBBM:
    a. undangan;
    b. daftar hadir;
    c. notula dan dokumentasi foto;
    d. laporan kegiatan.
3. Dokumen sosialisasi kepada masyarakat:
    (minimal 3 dari data dukung di bawah)
    a. </t>
    </r>
    <r>
      <rPr>
        <i/>
        <sz val="12"/>
        <color theme="1"/>
        <rFont val="Bookman Old Style"/>
        <charset val="134"/>
      </rPr>
      <t>Capture Banner</t>
    </r>
    <r>
      <rPr>
        <sz val="12"/>
        <color theme="1"/>
        <rFont val="Bookman Old Style"/>
        <charset val="134"/>
      </rPr>
      <t xml:space="preserve">/spanduk/himbauan/brosur;
    b. </t>
    </r>
    <r>
      <rPr>
        <i/>
        <sz val="12"/>
        <color theme="1"/>
        <rFont val="Bookman Old Style"/>
        <charset val="134"/>
      </rPr>
      <t>Capture Website;</t>
    </r>
    <r>
      <rPr>
        <sz val="12"/>
        <color theme="1"/>
        <rFont val="Bookman Old Style"/>
        <charset val="134"/>
      </rPr>
      <t xml:space="preserve">
    c. </t>
    </r>
    <r>
      <rPr>
        <i/>
        <sz val="12"/>
        <color theme="1"/>
        <rFont val="Bookman Old Style"/>
        <charset val="134"/>
      </rPr>
      <t>Capture</t>
    </r>
    <r>
      <rPr>
        <sz val="12"/>
        <color theme="1"/>
        <rFont val="Bookman Old Style"/>
        <charset val="134"/>
      </rPr>
      <t xml:space="preserve"> Media Sosial;
    d. </t>
    </r>
    <r>
      <rPr>
        <i/>
        <sz val="12"/>
        <color theme="1"/>
        <rFont val="Bookman Old Style"/>
        <charset val="134"/>
      </rPr>
      <t>Capture</t>
    </r>
    <r>
      <rPr>
        <sz val="12"/>
        <color theme="1"/>
        <rFont val="Bookman Old Style"/>
        <charset val="134"/>
      </rPr>
      <t xml:space="preserve"> Media elektronik;
    e. </t>
    </r>
    <r>
      <rPr>
        <i/>
        <sz val="12"/>
        <color theme="1"/>
        <rFont val="Bookman Old Style"/>
        <charset val="134"/>
      </rPr>
      <t>Capture</t>
    </r>
    <r>
      <rPr>
        <sz val="12"/>
        <color theme="1"/>
        <rFont val="Bookman Old Style"/>
        <charset val="134"/>
      </rPr>
      <t xml:space="preserve"> Media cetak;
    f.  </t>
    </r>
    <r>
      <rPr>
        <i/>
        <sz val="12"/>
        <color theme="1"/>
        <rFont val="Bookman Old Style"/>
        <charset val="134"/>
      </rPr>
      <t>Capture</t>
    </r>
    <r>
      <rPr>
        <sz val="12"/>
        <color theme="1"/>
        <rFont val="Bookman Old Style"/>
        <charset val="134"/>
      </rPr>
      <t xml:space="preserve"> Media TV;
    g.  Laporan kegiatan sosialisasi kepada masyarakat.</t>
    </r>
  </si>
  <si>
    <t>c. Terdapat mekanisme atau media untuk mensosialisasikan pembangunan WBK/WBBM.</t>
  </si>
  <si>
    <t>iii.</t>
  </si>
  <si>
    <t>Pemantauan dan Evaluasi Pembangunan WBK/WBBM</t>
  </si>
  <si>
    <t>Seluruh kegiatan pembangunan sudah dilaksanakan sesuai dengan rencana.</t>
  </si>
  <si>
    <t>a. Jika semua kegiatan pembangunan telah 
    dilaksanakan sesuai dengan rencana.
b. Jika sebagian besar kegiatan pembangunan 
    telah dilaksanakan sesuai dengan rencana.
c. Jika sebagian kecil kegiatan pembangunan 
    telah dilaksanakan sesuai dengan rencana.
d. Jika belum ada kegiatan pembangunan yang 
    dilakukan sesuai dengan rencana.</t>
  </si>
  <si>
    <t>A/B/C/D</t>
  </si>
  <si>
    <t xml:space="preserve">Dokumen kegiatan rapat pelaksanaan Rencana Aksi dan Target Prioritas oleh Tim Kerja:
1. undangan rapat;
2. daftar hadir;
3. notula dan dokumentasi foto;
4. laporan kegiatan kegiatan pembangunan ZI 
    berdasarkan Rencana Aksi dan Target Prioritas.
</t>
  </si>
  <si>
    <t>a. Seluruh kegiatan pembangunan sudah dilaksanakan sesuai dengan rencana.</t>
  </si>
  <si>
    <t>Terdapat monitoring dan evaluasi terhadap pembangunan Zona Integritas.</t>
  </si>
  <si>
    <r>
      <rPr>
        <sz val="12"/>
        <color theme="1"/>
        <rFont val="Bookman Old Style"/>
        <charset val="134"/>
      </rPr>
      <t>a. Jika monitoring dan evaluas</t>
    </r>
    <r>
      <rPr>
        <b/>
        <sz val="12"/>
        <color theme="1"/>
        <rFont val="Bookman Old Style"/>
        <charset val="134"/>
      </rPr>
      <t>i melibatkan 
   pimpinan</t>
    </r>
    <r>
      <rPr>
        <sz val="12"/>
        <color theme="1"/>
        <rFont val="Bookman Old Style"/>
        <charset val="134"/>
      </rPr>
      <t xml:space="preserve"> dan dilakukan secara berkala.
b. Jika monitoring dan evaluasi melibatkan 
    pimpinan tetapi tidak secara berkala.
c. Jika monitoring dan evaluasi tidak 
    melibatkan pimpinan dan tidak secara 
    berkala.
d. Jika tidak terdapat monitoring dan evaluasi 
    terhadap pembangunan zona integritas.</t>
    </r>
  </si>
  <si>
    <t>Dokumen kegiatan penyusunan laporan hasil monitoring dan evaluasi:
1. undangan rapat;
2. daftar hadir;
3. notula dan dokumentasi foto;
4. laporan hasil monitoring dan evaluasi triwulan.</t>
  </si>
  <si>
    <t>b. Terdapat monitoring dan evaluasi terhadap pembangunan Zona Integritas.</t>
  </si>
  <si>
    <t>Hasil Monitoring dan Evaluasi telah ditindaklanjuti.</t>
  </si>
  <si>
    <t>a. Jika semua catatan/rekomendasi hasil  
    monitoring dan evaluasi tim internal atas 
    persiapan dan pelaksanaan kegiatan Unit 
    WBK/WBBM telah ditindaklanjuti.
b. Jika sebagian besar catatan/rekomendasi 
    hasil monitoring danevaluasi tim internal atas 
    persiapan dan pelaksanaan kegiatan Unit 
    WBK/WBBM telah ditindaklanjuti.
c. Jika sebagian kecil catatan/rekomendasi 
    hasil monitoring dan evaluasi tim internal 
    atas persiapan dan pelaksanaan kegiatan 
    Unit WBK/WBBM telah ditindaklanjuti.
d. Jika catatan/rekomendasi hasil monitoring 
    dan evaluasi tim internal atas persiapan dan 
    pelaksanaan kegiatan Unit WBK/WBBM 
    belum ditindaklanjuti.</t>
  </si>
  <si>
    <t xml:space="preserve">Dokumen kegiatan penyusunan laporan tindak lanjut hasil monitoring dan evaluasi:
1. undangan rapat;
2. daftar hadir;
3. notula dan dokumentasi foto;
4. laporan tindak lanjut hasil monitoring dan evaluasi.
</t>
  </si>
  <si>
    <t>c. Hasil Monitoring dan Evaluasi telah ditindaklanjuti.</t>
  </si>
  <si>
    <t>iv.</t>
  </si>
  <si>
    <t xml:space="preserve">Perubahan pola pikir dan budaya kerja </t>
  </si>
  <si>
    <r>
      <rPr>
        <sz val="12"/>
        <color theme="1"/>
        <rFont val="Bookman Old Style"/>
        <charset val="134"/>
      </rPr>
      <t xml:space="preserve">Pimpinan berperan sebagai </t>
    </r>
    <r>
      <rPr>
        <i/>
        <sz val="12"/>
        <color theme="1"/>
        <rFont val="Bookman Old Style"/>
        <charset val="134"/>
      </rPr>
      <t>role model</t>
    </r>
    <r>
      <rPr>
        <sz val="12"/>
        <color theme="1"/>
        <rFont val="Bookman Old Style"/>
        <charset val="134"/>
      </rPr>
      <t xml:space="preserve"> dalam pelaksanaan Pembangunan WBK/WBBM.</t>
    </r>
  </si>
  <si>
    <t>ya, jika pimpinan menjadi contoh pelaksanaan nilai-nilai organisasi.</t>
  </si>
  <si>
    <r>
      <rPr>
        <sz val="12"/>
        <color theme="1"/>
        <rFont val="Bookman Old Style"/>
        <charset val="134"/>
      </rPr>
      <t>1. Arahan kepala satuan kerja terkait pembangunan ZI 
    dan nilai dasar/</t>
    </r>
    <r>
      <rPr>
        <i/>
        <sz val="12"/>
        <color theme="1"/>
        <rFont val="Bookman Old Style"/>
        <charset val="134"/>
      </rPr>
      <t>core value:</t>
    </r>
    <r>
      <rPr>
        <sz val="12"/>
        <color theme="1"/>
        <rFont val="Bookman Old Style"/>
        <charset val="134"/>
      </rPr>
      <t xml:space="preserve">
    a. undangan;
    b. daftar hadir;
    c. notula;
    d. laporan.
2. Absensi pimpinan Satker dan pejabat struktural 
    (Misal </t>
    </r>
    <r>
      <rPr>
        <i/>
        <sz val="12"/>
        <color theme="1"/>
        <rFont val="Bookman Old Style"/>
        <charset val="134"/>
      </rPr>
      <t>sampling</t>
    </r>
    <r>
      <rPr>
        <sz val="12"/>
        <color theme="1"/>
        <rFont val="Bookman Old Style"/>
        <charset val="134"/>
      </rPr>
      <t>: Bulan Januari, Februari, dan Maret)
    (data dukung diperbaharui tiap triwulan).
3. Dokumentasi pimpinan/pejabat struktural menjadi 
    Pembina apel dan pembina upacara. (data dukung 
    diperbaharui tiap triwulan).
4. Dokumen Jurnal Harian Pimpinan dan Pejabat 
    Struktural (Sampling: Bulan Januari, Februari, dan 
    Maret) (data dukung diperbaharui tiap triwulan):
    a. Untuk satuan kerja Eselon I, daftar hadir dan jurnal 
        harian yang dibutuhkan sampai kepada Jabatan 
        Struktural Eselon I, II, dan III;
    b. Untuk satuan kerja Eselon II, daftar hadir dan 
        jurnal harian yang dibutuhkan sampai kepada 
        Jabatan Struktural Eselon II dan III;
    c. Untuk satuan kerja Eselon III, daftar hadir dan 
        jurnal harian yang dibutuhkan sampai kepada 
       Jabatan Struktural Eselon III dan IV.</t>
    </r>
  </si>
  <si>
    <t>a. Pimpinan berperan sebagai role model dalam pelaksanaan Pembangunan WBK/WBBM.</t>
  </si>
  <si>
    <t>Sudah ditetapkan agen perubahan.</t>
  </si>
  <si>
    <t>a. Jika agen perubahan telah ditetapkan dan
    berkontribusi terhadap perubahan pada unit 
    kerjanya.
b. Jika agen perubahan telah ditetapkan 
    namun belum berkontribusi terhadap 
    perubahan pada unit kerjanya.
c. Jika belum terdapat agen perubahan.</t>
  </si>
  <si>
    <r>
      <rPr>
        <sz val="12"/>
        <color theme="1"/>
        <rFont val="Bookman Old Style"/>
        <charset val="134"/>
      </rPr>
      <t xml:space="preserve">Dokumen pelaksanaan kegiatan penetapan Agen Perubahan:
1. undangan;
2. daftar hadir;
3. notula dan dokumentasi foto;
4. Riwayat Hidup dan rekam jejak agen perubahan;
5. SK Agen Perubahan yang ditetapkan oleh Kepala
    Satuan Kerja.
Keterangan :
Masing-masing Agen Perubahan yang ditunjuk harus memiliki prestasi/kontribusi dalam pembangunan ZI dan satu agen perubahan minimal memiliki satu produk perubahan, yang terintegrasi dengan Sistem Manajemen pada satuan kerja (tidak termasuk </t>
    </r>
    <r>
      <rPr>
        <i/>
        <sz val="12"/>
        <color theme="1"/>
        <rFont val="Bookman Old Style"/>
        <charset val="134"/>
      </rPr>
      <t>jingle</t>
    </r>
    <r>
      <rPr>
        <sz val="12"/>
        <color theme="1"/>
        <rFont val="Bookman Old Style"/>
        <charset val="134"/>
      </rPr>
      <t xml:space="preserve">, maskot, jargon).
</t>
    </r>
  </si>
  <si>
    <t>b. Sudah ditetapkan agen perubahan.</t>
  </si>
  <si>
    <t>Telah dibangun budaya kerja dan pola pikir di lingkungan organisasi.</t>
  </si>
  <si>
    <t>a. Jika telah dilakukan upaya pembangunan 
    budaya kerja dan pola pikir dan mampu 
    mengurangi resistensi atas perubahan.
b. Jika telah dilakukan upaya pembangunan 
    budaya kerja dan pola pikir tapi masih 
    terdapat resistensi atas perubahan.
c. Jika belum terdapat upaya pembangunan 
    budaya kerja dan pola pikir.</t>
  </si>
  <si>
    <r>
      <rPr>
        <b/>
        <sz val="12"/>
        <color theme="1"/>
        <rFont val="Bookman Old Style"/>
        <charset val="134"/>
      </rPr>
      <t>B03:</t>
    </r>
    <r>
      <rPr>
        <sz val="12"/>
        <color theme="1"/>
        <rFont val="Bookman Old Style"/>
        <charset val="134"/>
      </rPr>
      <t xml:space="preserve">
1. Dokumen Laporan Pelaksanaan Kegiatan Pelatihan 
    budaya kerja atau  BerAKHLAK (Kegiatan dapat 
    dilakukan oleh internal satuan kerja. Contoh: 
    </t>
    </r>
    <r>
      <rPr>
        <i/>
        <sz val="12"/>
        <color theme="1"/>
        <rFont val="Bookman Old Style"/>
        <charset val="134"/>
      </rPr>
      <t>Workshop, in House Training</t>
    </r>
    <r>
      <rPr>
        <sz val="12"/>
        <color theme="1"/>
        <rFont val="Bookman Old Style"/>
        <charset val="134"/>
      </rPr>
      <t xml:space="preserve">)
2. Dokumen laporan pelaksanaan kegiatan penerapan 
    budaya kerja berikut dokumentasinya. 
</t>
    </r>
    <r>
      <rPr>
        <b/>
        <sz val="12"/>
        <color theme="1"/>
        <rFont val="Bookman Old Style"/>
        <charset val="134"/>
      </rPr>
      <t>B03, B06, B09, B12:</t>
    </r>
    <r>
      <rPr>
        <sz val="12"/>
        <color theme="1"/>
        <rFont val="Bookman Old Style"/>
        <charset val="134"/>
      </rPr>
      <t xml:space="preserve">
3. Dokumentasi pegawai yang menerima </t>
    </r>
    <r>
      <rPr>
        <i/>
        <sz val="12"/>
        <color theme="1"/>
        <rFont val="Bookman Old Style"/>
        <charset val="134"/>
      </rPr>
      <t>reward</t>
    </r>
    <r>
      <rPr>
        <sz val="12"/>
        <color theme="1"/>
        <rFont val="Bookman Old Style"/>
        <charset val="134"/>
      </rPr>
      <t xml:space="preserve"> dan 
     </t>
    </r>
    <r>
      <rPr>
        <i/>
        <sz val="12"/>
        <color theme="1"/>
        <rFont val="Bookman Old Style"/>
        <charset val="134"/>
      </rPr>
      <t xml:space="preserve">punishment.
</t>
    </r>
    <r>
      <rPr>
        <sz val="12"/>
        <color theme="1"/>
        <rFont val="Bookman Old Style"/>
        <charset val="134"/>
      </rPr>
      <t xml:space="preserve">
Contoh:
a. Penghargaan/Piagam terhadap pegawai terbaik/ 
    teladan atas kehadiran dan kinerja; dan
b. SK Hukdis/Usulan Penjatuhan Hukdis dan BAP. (Jika 
    tidak terdapat hukdis menggunakan surat keterangan 
    kasatker yang menyatakan bahwa tidak terdapat 
    pegawai yang sedang dalam proses atau menjalani 
    hukdis pada satuan kerja)</t>
    </r>
    <r>
      <rPr>
        <sz val="12"/>
        <color theme="1"/>
        <rFont val="Arial"/>
        <charset val="134"/>
      </rPr>
      <t xml:space="preserve">
</t>
    </r>
  </si>
  <si>
    <t>c. Telah dibangun budaya kerja dan pola pikir di lingkungan organisasi.</t>
  </si>
  <si>
    <t>d.</t>
  </si>
  <si>
    <t>Anggota organisasi terlibat dalam pembangunan Zona Integritas menuju WBK/WBBM.</t>
  </si>
  <si>
    <t>a. Jika semua anggota terlibat dalam 
    pembangunan Zona Integritas menuju WBK/
    WBBM dan usulan-usulan dari anggota 
    diakomodasikan dalam keputusan.
b. Jika sebagian besar anggota terlibat dalam 
    pembangunan Zona Integritas menuju WBK/ 
    WBBM.
c. Jika sebagian kecil anggota terlibat dalam 
    pembangunan Zona Integritas menuju WBK/ 
    WBBM.
d. Jika belum ada anggota terlibat dalam 
    pembangunan Zona Integritas menuju WBK/
    WBBM.</t>
  </si>
  <si>
    <r>
      <rPr>
        <b/>
        <sz val="12"/>
        <color theme="1"/>
        <rFont val="Bookman Old Style"/>
        <charset val="134"/>
      </rPr>
      <t>B03:</t>
    </r>
    <r>
      <rPr>
        <sz val="12"/>
        <color theme="1"/>
        <rFont val="Bookman Old Style"/>
        <charset val="134"/>
      </rPr>
      <t xml:space="preserve">
1. Dokumen kegiatan yang melibatkan seluruh pegawai 
    dalam pembangunan ZI menuju WBK/WBBM seperti 
    rapat pembuatan jingle satker, rapat pembuatan </t>
    </r>
    <r>
      <rPr>
        <i/>
        <sz val="12"/>
        <color theme="1"/>
        <rFont val="Bookman Old Style"/>
        <charset val="134"/>
      </rPr>
      <t>motto</t>
    </r>
    <r>
      <rPr>
        <sz val="12"/>
        <color theme="1"/>
        <rFont val="Bookman Old Style"/>
        <charset val="134"/>
      </rPr>
      <t xml:space="preserve"> 
    atau slogan satker, yel-yel, maskot dan jargon, 
    kegiatan pemasangan banner/poster dan </t>
    </r>
    <r>
      <rPr>
        <i/>
        <sz val="12"/>
        <color theme="1"/>
        <rFont val="Bookman Old Style"/>
        <charset val="134"/>
      </rPr>
      <t>coffee 
    briefing/coffee morning</t>
    </r>
    <r>
      <rPr>
        <sz val="12"/>
        <color theme="1"/>
        <rFont val="Bookman Old Style"/>
        <charset val="134"/>
      </rPr>
      <t xml:space="preserve">:
    a) undangan;
    b) daftar hadir;
    c) notula yang menjelaskan keterlibatan pegawai 
        dalam memberikan usulan seperti usulan yel-yel, 
        jargon, maskot dll. dan dokumentasi foto;
    d) Laporan.
</t>
    </r>
    <r>
      <rPr>
        <b/>
        <sz val="12"/>
        <color theme="1"/>
        <rFont val="Bookman Old Style"/>
        <charset val="134"/>
      </rPr>
      <t>B03, B06, B09, B12:</t>
    </r>
    <r>
      <rPr>
        <sz val="12"/>
        <color theme="1"/>
        <rFont val="Bookman Old Style"/>
        <charset val="134"/>
      </rPr>
      <t xml:space="preserve">
2. Dokumen laporan kegiatan yang melibatkan seluruh 
    pegawai seperti apel pagi dan apel sore, jumat 
    olahraga, dan kegiatan rohani.
</t>
    </r>
  </si>
  <si>
    <t>d. Anggota organisasi terlibat dalam pembangunan Zona Integritas menuju WBK/WBBM.</t>
  </si>
  <si>
    <t xml:space="preserve">Prosedur Operasional Tetap (SOP) Kegiatan Utama </t>
  </si>
  <si>
    <t>SOP mengacu pada peta proses bisnis instansi.</t>
  </si>
  <si>
    <t>a. Jika semua SOP unit telah mengacu peta 
    proses bisnis dan juga melakukan inovasi 
    yang selaras.
b. Jika semua SOP unit telah mengacu peta 
    proses bisnis.
c. Jika sebagian SOP unit telah mengacu peta 
    proses bisnis.
d. Jika belum terdapat SOP unit yang mengacu 
    peta proses bisnis.</t>
  </si>
  <si>
    <r>
      <rPr>
        <sz val="12"/>
        <color theme="1"/>
        <rFont val="Bookman Old Style"/>
        <charset val="134"/>
      </rPr>
      <t xml:space="preserve">1. Dokumen Peta Bisnis Instansi (Kementerian).
2. Dokumen SOP Pusat/Unit Eselon I.
3. Dokumen SOP </t>
    </r>
    <r>
      <rPr>
        <i/>
        <sz val="12"/>
        <color theme="1"/>
        <rFont val="Bookman Old Style"/>
        <charset val="134"/>
      </rPr>
      <t>Flowchart</t>
    </r>
    <r>
      <rPr>
        <sz val="12"/>
        <color theme="1"/>
        <rFont val="Bookman Old Style"/>
        <charset val="134"/>
      </rPr>
      <t xml:space="preserve"> dan Grafik Satuan Kerja.
4. Dokumen SOP Inovasi </t>
    </r>
    <r>
      <rPr>
        <i/>
        <sz val="12"/>
        <color theme="1"/>
        <rFont val="Bookman Old Style"/>
        <charset val="134"/>
      </rPr>
      <t>Flowchart</t>
    </r>
    <r>
      <rPr>
        <sz val="12"/>
        <color theme="1"/>
        <rFont val="Bookman Old Style"/>
        <charset val="134"/>
      </rPr>
      <t xml:space="preserve"> dan Grafik 
    (Ditetapkan oleh Ka. UPT/Satker).
Penyusunan SOP mengacu kepada format yang ditetapkan dalam Permenpanrb Nomor 35 Tahun 2012 tentang Pedoman Penyusunan Standar Operasional Prosedur Administrasi Pemerintahan.
Keterangan: 
Apabila Dokumen Peta Bisnis Instansi (Kementerian) belum tersedia, data dukung dapat dipenuhi dengan melampirkan:
a. draf Dokumen Peta Bisnis Instansi; dan
b. Surat Pernyataan Kepala Biro Sumber Daya Manusia 
    Organisasi  dan Ketatalaksanaan yang menyatakan bahwa 
    Dokumen Peta Bisnis belum tersedia serta dilampirkan juga 
    dengan </t>
    </r>
    <r>
      <rPr>
        <i/>
        <sz val="12"/>
        <color theme="1"/>
        <rFont val="Bookman Old Style"/>
        <charset val="134"/>
      </rPr>
      <t xml:space="preserve">timeline </t>
    </r>
    <r>
      <rPr>
        <sz val="12"/>
        <color theme="1"/>
        <rFont val="Bookman Old Style"/>
        <charset val="134"/>
      </rPr>
      <t>penyelesaiannya.</t>
    </r>
  </si>
  <si>
    <t>a. SOP mengacu pada peta proses bisnis instansi.</t>
  </si>
  <si>
    <t>Prosedur operasional tetap (SOP) telah diterapkan.</t>
  </si>
  <si>
    <t>a. Jika unit telah menerapkan seluruh SOP 
    yang ditetapkan organisasi dan juga 
    melakukan inovasi pada SOP yang 
    diterapkan.
b. Jika unit telah menerapkan seluruh SOP 
    yang ditetapkan organisasi.
c. Jika unit telah menerapkan sebagian besar 
    SOP yang ditetapkan organisasi.
d. Jika unit telah menerapkan sebagian kecil 
    SOP yang ditetapkan organisasi.
e. Jika unit belum menerapkan SOP yang telah 
    ditetapkan organisasi.</t>
  </si>
  <si>
    <t>A/B/C/D/E</t>
  </si>
  <si>
    <t xml:space="preserve">1. Kepala Satuan Kerja menerbitkan kembali SOP dari 
    Unit Eselon I/Kementerian dalam bentuk SK Kepala 
    Satuan Kerja serta melakukan inovasi terkait dengan 
    pelayanan yang dilaksanakan di satuan kerja.
2. Dokumentasi pemasangan/informasi tentang alur 
    atau prosedur layanan.
</t>
  </si>
  <si>
    <t>b. Prosedur operasional tetap (SOP) telah diterapkan.</t>
  </si>
  <si>
    <t>Prosedur operasional tetap (SOP) telah dievaluasi.</t>
  </si>
  <si>
    <t>a. Jika seluruh SOP utama telah dievaluasi dan 
    telah ditindaklanjuti berupa perbaikan SOP 
    atau usulan perbaikan SOP.
b. Jika sebagian besar SOP utama telah 
    dievaluasi dan telah ditindaklanjuti berupa 
    perbaikan SOP atau usulan perbaikan SOP.
c. Jika sebagian besar SOP utama telah 
    dievaluasi tetapi belum ditindaklanjuti.
d. Jika sebagian kecil SOP utama telah 
    dievaluasi.
e. Jika SOP belum pernah dievaluasi.</t>
  </si>
  <si>
    <t xml:space="preserve">Dokumen monitoring dan evaluasi penerapan SOP satuan kerja:
1. undangan;
2. daftar hadir;
3. notula dan dokumentasi kegiatan;
4. laporan hasil monitoring dan evaluasi penerapan SOP 
    berisi Matriks perubahan SOP semula dan SOP 
    Perubahan atau usulan perbaikan SOP.
</t>
  </si>
  <si>
    <t>c. Prosedur operasional tetap (SOP) telah dievaluasi.</t>
  </si>
  <si>
    <t>Sistem Pemerintahan Berbasis Elektronik (SPBE)</t>
  </si>
  <si>
    <t>Sistem pengukuran kinerja unit sudah menggunakan teknologi informasi.</t>
  </si>
  <si>
    <r>
      <rPr>
        <sz val="12"/>
        <color theme="1"/>
        <rFont val="Bookman Old Style"/>
        <charset val="134"/>
      </rPr>
      <t>a. Jika unit memiliki sistem pengukuran 
    kinerja (</t>
    </r>
    <r>
      <rPr>
        <i/>
        <sz val="12"/>
        <color theme="1"/>
        <rFont val="Bookman Old Style"/>
        <charset val="134"/>
      </rPr>
      <t>e-performance</t>
    </r>
    <r>
      <rPr>
        <sz val="12"/>
        <color theme="1"/>
        <rFont val="Bookman Old Style"/>
        <charset val="134"/>
      </rPr>
      <t>/e-sakip) yang 
    menggunakan teknologi informasi dan juga 
    melakukan inovasi. 
b. Jika unit memiliki sistem pengukuran 
    kinerja (</t>
    </r>
    <r>
      <rPr>
        <i/>
        <sz val="12"/>
        <color theme="1"/>
        <rFont val="Bookman Old Style"/>
        <charset val="134"/>
      </rPr>
      <t>e-performance</t>
    </r>
    <r>
      <rPr>
        <sz val="12"/>
        <color theme="1"/>
        <rFont val="Bookman Old Style"/>
        <charset val="134"/>
      </rPr>
      <t>/e-sakip) yang 
    menggunakan teknologi informasi. 
c. Jika belum memiliki sistem pengukuran 
    kinerja (</t>
    </r>
    <r>
      <rPr>
        <i/>
        <sz val="12"/>
        <color theme="1"/>
        <rFont val="Bookman Old Style"/>
        <charset val="134"/>
      </rPr>
      <t>e-performance</t>
    </r>
    <r>
      <rPr>
        <sz val="12"/>
        <color theme="1"/>
        <rFont val="Bookman Old Style"/>
        <charset val="134"/>
      </rPr>
      <t xml:space="preserve">/e-sakip) yang 
    menggunakan teknologi informasi. </t>
    </r>
  </si>
  <si>
    <t xml:space="preserve">1. Capture penggunaan teknologi/aplikasi 
    pengukuran kinerja.
2. Capture Inovasi terkait sistem pengukuran kinerja 
    pada satuan kerja. (jika ada)
3. Jurnal Harian pegawai yang ditandatangani oleh
    pegawai yang bersangkutan dan atasan langsung. </t>
  </si>
  <si>
    <t>a. Sistem pengukuran kinerja unit sudah menggunakan teknologi informasi.</t>
  </si>
  <si>
    <t xml:space="preserve">Operasionalisasi manajemen SDM sudah menggunakan teknologi informasi. </t>
  </si>
  <si>
    <t xml:space="preserve">a. Jika unit memiliki operasionalisasi 
    manajemen SDM yang menggunakan 
    teknologi informasi dan juga melakukan 
    inovasi. 
b. Jika unit memiliki operasionalisasi 
    manajemen SDM yang menggunakan 
    teknologi informasi secara terpusat. 
c. Jika belum menggunakan teknologi informasi 
    dalam operasionalisasi manajemen SDM. </t>
  </si>
  <si>
    <r>
      <rPr>
        <sz val="12"/>
        <color theme="1"/>
        <rFont val="Bookman Old Style"/>
        <charset val="134"/>
      </rPr>
      <t xml:space="preserve">1. </t>
    </r>
    <r>
      <rPr>
        <i/>
        <sz val="12"/>
        <color theme="1"/>
        <rFont val="Bookman Old Style"/>
        <charset val="134"/>
      </rPr>
      <t>Capture</t>
    </r>
    <r>
      <rPr>
        <sz val="12"/>
        <color theme="1"/>
        <rFont val="Bookman Old Style"/>
        <charset val="134"/>
      </rPr>
      <t xml:space="preserve"> penggunaan teknologi/aplikasi STAR ASN.
2. </t>
    </r>
    <r>
      <rPr>
        <i/>
        <sz val="12"/>
        <color theme="1"/>
        <rFont val="Bookman Old Style"/>
        <charset val="134"/>
      </rPr>
      <t>Capture</t>
    </r>
    <r>
      <rPr>
        <sz val="12"/>
        <color theme="1"/>
        <rFont val="Bookman Old Style"/>
        <charset val="134"/>
      </rPr>
      <t xml:space="preserve"> Inovasi terkait manajemen SDM 
    menggunakan teknologi informasi pada satuan kerja. 
    (jika ada)
Keterangan:
maksimal nilai B jika belum terdapat inovasi. </t>
    </r>
  </si>
  <si>
    <t xml:space="preserve">b. Operasionalisasi manajemen SDM sudah menggunakan teknologi informasi. </t>
  </si>
  <si>
    <t xml:space="preserve">Pemberian pelayanan kepada publik sudah menggunakan teknologi informasi. </t>
  </si>
  <si>
    <t xml:space="preserve">a. Jika unit memberikan pelayanan kepada publik dengan menggunakan teknologi informasi terpusat/unit sendiri dan terdapat inovasi. 
b. Jika unit memberikan pelayanan kepada publik dengan menggunakan teknologi informasi secara terpusat. 
c. Jika belum memberikan pelayanan kepada publik dengan menggunakan teknologi informasi. </t>
  </si>
  <si>
    <r>
      <rPr>
        <sz val="12"/>
        <color theme="1"/>
        <rFont val="Bookman Old Style"/>
        <charset val="134"/>
      </rPr>
      <t xml:space="preserve">1. </t>
    </r>
    <r>
      <rPr>
        <i/>
        <sz val="12"/>
        <color theme="1"/>
        <rFont val="Bookman Old Style"/>
        <charset val="134"/>
      </rPr>
      <t>Capture</t>
    </r>
    <r>
      <rPr>
        <sz val="12"/>
        <color theme="1"/>
        <rFont val="Bookman Old Style"/>
        <charset val="134"/>
      </rPr>
      <t xml:space="preserve"> penggunaan teknologi informasi dalam memberikan  
    pelayanan kepada publik yang disediakan secara
    terpusat;
2. </t>
    </r>
    <r>
      <rPr>
        <i/>
        <sz val="12"/>
        <color theme="1"/>
        <rFont val="Bookman Old Style"/>
        <charset val="134"/>
      </rPr>
      <t>Capture</t>
    </r>
    <r>
      <rPr>
        <sz val="12"/>
        <color theme="1"/>
        <rFont val="Bookman Old Style"/>
        <charset val="134"/>
      </rPr>
      <t xml:space="preserve"> penggunaan teknologi informasi dalam memberikan  
    pelayanan kepada publik yang disediakan secara mandiri/
    inovasi satuan kerja (jika ada).</t>
    </r>
  </si>
  <si>
    <t xml:space="preserve">c.Pemberian pelayanan kepada publik sudah menggunakan teknologi informasi. </t>
  </si>
  <si>
    <t>d</t>
  </si>
  <si>
    <t>Telah dilakukan monitoring dan dan evaluasi terhadap pemanfaatan teknologi informasi dalam pengukuran kinerja unit, operasionalisasi SDM, dan pemberian layanan kepada publik.</t>
  </si>
  <si>
    <t>a. Jika laporan monitoring dan evaluasi 
    terhadap pemanfaatan teknologi informasi 
    dalam pengukuran kinerja unit, 
    operasionalisasi SDM, dan pemberian 
    layanan kepada publik sudah dilakukan 
    secara berkala.
b. Jika laporan monitoring dan evaluasi 
    terhadap pemanfaatan teknologi informasi 
    dalam pengukuran kinerja unit, 
    operasionalisasi SDM, dan pemberian 
    layanan kepada publik sudah dilakukan 
    tetapi tidak secara berkala.
c. Jika tidak terdapat monitoring dan evaluasi 
    terhadap pemanfaatan teknologi informasi 
    dalam pengukuran kinerja unit, 
    operasionalisasi SDM, dan pemberian 
    layanan kepada publik.</t>
  </si>
  <si>
    <t>Dokumen kegiatan monitoring dan evaluasi terhadap pemanfaatan teknologi informasi dalam pengukuran kinerja unit, operasionalisasi SDM, dan pemberian layanan kepada publik:
1. Undangan;
2. Daftar Hadir;
3. Notula dan Dokumentasi Foto;
4. Laporan Monitoring dan Evaluasi.</t>
  </si>
  <si>
    <t>d. Telah dilakukan monitoring dan dan evaluasi terhadap pemanfaatan teknologi informasi dalam pengukuran kinerja unit, operasionalisasi SDM, dan pemberian layanan kepada publik.</t>
  </si>
  <si>
    <t xml:space="preserve">Keterbukaan Informasi Publik </t>
  </si>
  <si>
    <t>Kebijakan tentang  keterbukaan informasi publik telah diterapkan.</t>
  </si>
  <si>
    <t>a. Jika sudah terdapat Pejabat Pengelola 
    Informasi Publik (PPID) yang menyebarkan 
    seluruh informasi yang dapat diakses secara 
    mutakhir dan lengkap.
b. Jika sudah terdapat PPID yang menyebarkan 
    sebagian informasi yang dapat diakses secara 
    mutakhir dan lengkap.
c. Jika belum ada PPID dan belum melakukan 
    penyebaran informasi publik.</t>
  </si>
  <si>
    <r>
      <rPr>
        <b/>
        <sz val="12"/>
        <color theme="1"/>
        <rFont val="Bookman Old Style"/>
        <charset val="134"/>
      </rPr>
      <t>B03:</t>
    </r>
    <r>
      <rPr>
        <sz val="12"/>
        <color theme="1"/>
        <rFont val="Bookman Old Style"/>
        <charset val="134"/>
      </rPr>
      <t xml:space="preserve">
1.  SK Kepala Satuan Kerja tentang Penetapan Pejabat 
     Pengelola Informasi Publik (PPID).
</t>
    </r>
    <r>
      <rPr>
        <b/>
        <sz val="12"/>
        <color theme="1"/>
        <rFont val="Bookman Old Style"/>
        <charset val="134"/>
      </rPr>
      <t>B03, B06, B09, B12:</t>
    </r>
    <r>
      <rPr>
        <sz val="12"/>
        <color theme="1"/>
        <rFont val="Bookman Old Style"/>
        <charset val="134"/>
      </rPr>
      <t xml:space="preserve">
2.  Laporan pelaksanaan kegiatan Tim PPID dalam hal 
     penyebarluasan informasi: 
     a. Undangan;
     b. Daftar hadir;
     c. Notula dan Dokumentasi;
     d. Laporan hasil pelaksanaan keterbukaan informasi 
         publik.</t>
    </r>
  </si>
  <si>
    <t>a. Kebijakan tentang  keterbukaan informasi publik telah diterapkan</t>
  </si>
  <si>
    <t>Telah dilakukan monitoring dan evaluasi pelaksanaan kebijakan keterbukaan informasi publik.</t>
  </si>
  <si>
    <t>a. Jika dilakukan monitoring dan evaluasi 
    pelaksanaan kebijakan keterbukaan 
    informasi publik dan telah ditindaklanjuti.
b. Jika monitoring dan evaluasi pelaksanaan 
    kebijakan keterbukaan informasi publik 
    telah dilakukan tetapi belum ditindaklanjuti.
c. Jika monitoring dan evaluasi pelaksanaan 
    kebijakan keterbukaan informasi publik 
    belum dilakukan.</t>
  </si>
  <si>
    <t>1. Laporan hasil monitoring dan evaluasi pelaksanaan 
    kebijakan keterbukaan informasi publik oleh tim 
    PPID. 
2. Laporan tindak lanjut monitoring dan evaluasi.</t>
  </si>
  <si>
    <t>b. Telah dilakukan monitoring dan evaluasi pelaksanaan kebijakan keterbukaan informasi publik.</t>
  </si>
  <si>
    <t xml:space="preserve">Perencanaan Kebutuhan Pegawai sesuai dengan Kebutuhan Organisasi </t>
  </si>
  <si>
    <t>Kebutuhan pegawai yang disusun oleh unit kerja mengacu kepada peta jabatan dan hasil analisis beban kerja untuk masing-masing jabatan.</t>
  </si>
  <si>
    <t>Ya, jika kebutuhan pegawai yang disusun oleh unit kerja mengacu kepada peta jabatan dan hasil analisis beban kerja untuk masing-masing jabatan.</t>
  </si>
  <si>
    <r>
      <rPr>
        <sz val="12"/>
        <color theme="1"/>
        <rFont val="Bookman Old Style"/>
        <charset val="134"/>
      </rPr>
      <t>1. Peta Jabatan mengacu kepada format  Lampiran VI 
    Perka BKN Nomor 9 Tahun 2022 tentang Tata Cara 
    Pelaksanaan Penyusunan Kebutuhan ASN yang 
    ditandatangani oleh kepala satuan kerja.
2. Analisis Jabatan mengacu kepada format dalam 
    Lampiran I s.d. V Peraturan BKN Nomor 9 Tahun 2022 
    tentang Tata Cara Pelaksanaan Penyusunan 
    Kebutuhan ASN.  
3. Dokumen Kebutuhan Pegawai mengacu kepada 
    format dalam Lampiran VII Perka BKN Nomor 9 Tahun 
    2022 tentang Tata Cara Pelaksanaan Penyusunan 
    Kebutuhan ASN.
4. Surat usulan kebutuhan pegawai dari Unit Kerja yang 
    ditujukan kepada Sekretariat Jenderal melalui Kanwil.
5. Dokumen Rapat kebutuhan pegawai berupa 
    Undangan, Daftar Hadir, Notula dan Dokumentasi 
    Foto sesuai dengan ketentuan yang berlaku mengenai tata  
    naskah dinas di lingkungan Kementerian Imigrasi dan 
    Pemasyarakatan .
Keterangan: 
Jika terdapat perubahan di</t>
    </r>
    <r>
      <rPr>
        <i/>
        <sz val="12"/>
        <color theme="1"/>
        <rFont val="Bookman Old Style"/>
        <charset val="134"/>
      </rPr>
      <t>update</t>
    </r>
    <r>
      <rPr>
        <sz val="12"/>
        <color theme="1"/>
        <rFont val="Bookman Old Style"/>
        <charset val="134"/>
      </rPr>
      <t xml:space="preserve"> pada triwulan berikutnya.</t>
    </r>
  </si>
  <si>
    <t>a. Kebutuhan pegawai yang disusun oleh unit kerja mengacu kepada peta jabatan dan hasil analisis beban kerja untuk masing-masing jabatan.</t>
  </si>
  <si>
    <t>Penempatan pegawai hasil rekrutmen murni mengacu kepada kebutuhan pegawai yang telah disusun per jabatan.</t>
  </si>
  <si>
    <t>a. Jika semua penempatan pegawai hasil 
    rekrutmen murni mengacu kepada 
    kebutuhan pegawai yang telah disusun per
    jabatan.
b. Jika sebagian besar penempatan pegawai 
    hasil rekrutmen murni mengacu kepada 
    kebutuhan pegawai yang telah disusun per 
    jabatan.
c. Jika sebagian kecil penempatan pegawai 
    hasil rekrutmen murni mengacu kepada 
    kebutuhan pegawai yang telah disusun per 
    jabatan.
d. Jika penempatan pegawai hasil rekrutmen 
    murni tidak mengacu kepada kebutuhan 
    pegawai yang telah disusun per jabatan.</t>
  </si>
  <si>
    <t>1. SK CPNS hasil dari Penerimaan CPNS yang 
    terakhir/terbaru.
2. Surat pengantar penempatan CPNS dari Kanwil ke 
    Unit Kerja.
3. Surat Perintah Melaksanakan Tugas (SPMT) dari 
    Kepala Satuan Kerja.
4. Surat Keputusan MenPANRB tentang Penetapan 
    Kebutuhan PNS di Lingkungan Kementerian Imigrasi 
    dan Pemasyarakatan Tahun Anggaran terakhir. 
    Dokumen ini didapatkan dari Biro SDMA, Organisasi 
    dan Ketatalaksanaan.</t>
  </si>
  <si>
    <t>b. Penempatan pegawai hasil rekrutmen murni mengacu kepada kebutuhan pegawai yang telah disusun per jabatan.</t>
  </si>
  <si>
    <t>Telah dilakukan monitoring dan dan evaluasi terhadap penempatan pegawai rekrutmen untuk memenuhi kebutuhan jabatan dalam organisasi telah memberikan perbaikan terhadap kinerja unit kerja.</t>
  </si>
  <si>
    <t>Ya, jika sudah dilakukan monitoring dan evaluasi terhadap penempatan pegawai hasil rekrutmen untuk memenuhi kebutuhan jabatan dalam organisasi telah memberikan perbaikan terhadap kinerja unit kerja.</t>
  </si>
  <si>
    <t xml:space="preserve">Dokumen kegiatan monitoring dan evaluasi tentang penempatan pegawai terhadap kinerja unit:
1. Undangan;
2. Daftar hadir;
3. Notula dan dokumentasi foto;
4. Laporan hasil monitoring dan evaluasi tentang 
    penempatan pegawai terhadap kinerja unit.
</t>
  </si>
  <si>
    <t>c. Telah dilakukan monitoring dan dan evaluasi terhadap penempatan pegawai rekrutmen untuk memenuhi kebutuhan jabatan dalam organisasi telah memberikan perbaikan terhadap kinerja unit kerja.</t>
  </si>
  <si>
    <t>Pola Mutasi Internal</t>
  </si>
  <si>
    <t>Dalam melakukan pengembangan karier pegawai, telah dilakukan mutasi pegawai antar jabatan.</t>
  </si>
  <si>
    <t>Ya, jika dilakukan mutasi pegawai antar jabatan sebagai wujud dari pengembangan karier pegawai.</t>
  </si>
  <si>
    <t>1. Dokumen rapat pembahasan mutasi/rotasi antar 
    jabatan berupa undangan, daftar hadir, dokumentasi 
    dan notula yang memuat upaya pengembangan karir 
    sebagai dasar pertimbangan mutasi/rotasi. Format 
    dokumen disesuaikan dengan Keputusan Menteri 
    Imigrasi dan Pemasyarakatan Nomor M.IP-10.HK.03.
    02 Tahun 2025.
2. SK mutasi/rotasi atau surat usulan mutasi/rotasi dari 
    UPT, Kanwil dan/atau Unit Utama.
3. Daftar Riwayat Pekerjaan/ Hidup (DRP/DRH).
Keterangan: 
Jika terdapat perubahan diupdate pada triwulan berikutnya.</t>
  </si>
  <si>
    <t>a. Dalam melakukan pengembangan karier pegawai, telah dilakukan mutasi pegawai antar jabatan.</t>
  </si>
  <si>
    <t>Dalam melakukan mutasi pegawai antar jabatan telah memperhatikan kompetensi jabatan dan mengikuti pola mutasi yang telah ditetapkan.</t>
  </si>
  <si>
    <t>a. Jika semua mutasi pegawai antar jabatan 
    telah memperhatikan kompetensi jabatan 
    dan mengikuti pola mutasi yang telah 
    ditetapkan organisasi dan juga unit kerja 
    memberikan pertimbangan terkait hal ini.
b. Jika semua mutasi pegawai antar jabatan 
    telah memperhatikan kompetensi jabatan
    dan mengikuti pola mutasi yang telah 
    ditetapkan organisasi.
c. Jika sebagian besar mutasi pegawai antar 
    jabatan telah memperhatikan kompetensi 
    jabatan dan mengikuti pola mutasi yang telah 
   ditetapkan organisasi.
d. Jika sebagian kecil semua mutasi pegawai 
    antar jabatan telah memperhatikan 
    kompetensi jabatan dan mengikuti pola 
    mutasi yang telah ditetapkan organisasi.
e. Jika mutasi pegawai antar jabatan belum 
    memperhatikan kompetensi jabatan dan
    mengikuti pola mutasi yang telah ditetapkan 
    organisasi.</t>
  </si>
  <si>
    <r>
      <rPr>
        <sz val="12"/>
        <color theme="1"/>
        <rFont val="Bookman Old Style"/>
        <charset val="134"/>
      </rPr>
      <t xml:space="preserve">1. Dokumen rapat pembahasan mutasi/rotasi antar 
     jabatan berupa undangan, daftar hadir, dokumentasi 
    dan notula yang memuat kompetensi jabatan dan pola 
    mutasi sebagai dasar pertimbangan mutasi/rotasi. 
    Format dokumen disesuaikan dengan Keputusan 
    Menteri Imigrasi dan Pemasyarakatan Nomor 
    M.IP-10.HK.03.02 Tahun 2025.
2. SK mutasi/rotasi atau surat usulan mutasi/rotasi dari 
    UPT, Kanwil dan/atau Unit Utama.
3. Daftar Riwayat Pekerjaan/ Hidup (DRP/DRH).
4. Dokumen Hasil </t>
    </r>
    <r>
      <rPr>
        <i/>
        <sz val="12"/>
        <color theme="1"/>
        <rFont val="Bookman Old Style"/>
        <charset val="134"/>
      </rPr>
      <t>Profile Assesment</t>
    </r>
    <r>
      <rPr>
        <sz val="12"/>
        <color theme="1"/>
        <rFont val="Bookman Old Style"/>
        <charset val="134"/>
      </rPr>
      <t>.
Keterangan: 
Jika terdapat perubahan diupdate pada triwulan berikutnya.</t>
    </r>
  </si>
  <si>
    <t>b. Dalam melakukan mutasi pegawai antar jabatan telah memperhatikan kompetensi jabatan dan mengikuti pola mutasi yang telah ditetapkan.</t>
  </si>
  <si>
    <t>Telah dilakukan monitoring dan evaluasi terhadap kegiatan mutasi yang telah dilakukan dalam kaitannya dengan perbaikan kinerja.</t>
  </si>
  <si>
    <t>Ya, jika sudah dilakukan monitoring dan evaluasi terhadap kegiatan mutasi yang telah dilakukan dalam kaitannya dengan perbaikan kinerja.</t>
  </si>
  <si>
    <t>Dokumen kegiatan monitoring dan evaluasi tentang pengaruh mutasi pegawai terhadap kinerja unit berupa:
1. Undangan;
2. Daftar hadir;
3. Notula dan dokumentasi foto;
4. Laporan hasil monitoring dan evaluasi atas kegiatan 
    mutasi yang telah dilakukan dikaitkan dengan 
    perbaikan kinerja.
Format dokumen disesuaikan dengan Keputusan Menteri Imigrasi dan Pemasyarakatan Nomor M.IP-10.HK.03.02 Tahun 2025.</t>
  </si>
  <si>
    <t>c. Telah dilakukan monitoring dan evaluasi terhadap kegiatan mutasi yang telah dilakukan dalam kaitannya dengan perbaikan kinerja.</t>
  </si>
  <si>
    <t xml:space="preserve">Pengembangan Pegawai Berbasis Kompetensi </t>
  </si>
  <si>
    <r>
      <rPr>
        <sz val="12"/>
        <color theme="1"/>
        <rFont val="Bookman Old Style"/>
        <charset val="134"/>
      </rPr>
      <t xml:space="preserve">Unit Kerja melakukan </t>
    </r>
    <r>
      <rPr>
        <i/>
        <sz val="12"/>
        <color theme="1"/>
        <rFont val="Bookman Old Style"/>
        <charset val="134"/>
      </rPr>
      <t>Training Need Analysis</t>
    </r>
    <r>
      <rPr>
        <sz val="12"/>
        <color theme="1"/>
        <rFont val="Bookman Old Style"/>
        <charset val="134"/>
      </rPr>
      <t xml:space="preserve"> Untuk pengembangan kompetensi.</t>
    </r>
  </si>
  <si>
    <r>
      <rPr>
        <sz val="12"/>
        <color theme="1"/>
        <rFont val="Bookman Old Style"/>
        <charset val="134"/>
      </rPr>
      <t xml:space="preserve">Ya, jika sudah dilakukan Training </t>
    </r>
    <r>
      <rPr>
        <i/>
        <sz val="12"/>
        <color theme="1"/>
        <rFont val="Bookman Old Style"/>
        <charset val="134"/>
      </rPr>
      <t>Need Analysis</t>
    </r>
    <r>
      <rPr>
        <sz val="12"/>
        <color theme="1"/>
        <rFont val="Bookman Old Style"/>
        <charset val="134"/>
      </rPr>
      <t xml:space="preserve"> Untuk pengembangan kompetensi.</t>
    </r>
  </si>
  <si>
    <r>
      <rPr>
        <sz val="12"/>
        <color theme="1"/>
        <rFont val="Bookman Old Style"/>
        <charset val="134"/>
      </rPr>
      <t>1. Dokumen Rencana Pengembangan Sumber Daya Manusia 
   Aparatur yang disahkan oleh Sekretaris Jenderal yang 
   sekurangnya memuat:
    a. Analisis ketercapaian sasaran dan target kinerja 
        (</t>
    </r>
    <r>
      <rPr>
        <i/>
        <sz val="12"/>
        <color theme="1"/>
        <rFont val="Bookman Old Style"/>
        <charset val="134"/>
      </rPr>
      <t>Organizational Analysis</t>
    </r>
    <r>
      <rPr>
        <sz val="12"/>
        <color theme="1"/>
        <rFont val="Bookman Old Style"/>
        <charset val="134"/>
      </rPr>
      <t>);
    b. Analisis kesesuaian pelaksanaan tugas dan fungsi 
        tiap pejabat/pegawai dalam rangka pencapaian 
        sasaran dan target kinerja (</t>
    </r>
    <r>
      <rPr>
        <i/>
        <sz val="12"/>
        <color theme="1"/>
        <rFont val="Bookman Old Style"/>
        <charset val="134"/>
      </rPr>
      <t>Task Analysis</t>
    </r>
    <r>
      <rPr>
        <sz val="12"/>
        <color theme="1"/>
        <rFont val="Bookman Old Style"/>
        <charset val="134"/>
      </rPr>
      <t>);
    c. Analisis kesesuaian dan kesenjangan kompetensi 
        pejabat/pegawai dibandingkan dengan standar 
        kompetensi yang telah ditetapkan sesuai tugas dan 
        fungsinya (</t>
    </r>
    <r>
      <rPr>
        <i/>
        <sz val="12"/>
        <color theme="1"/>
        <rFont val="Bookman Old Style"/>
        <charset val="134"/>
      </rPr>
      <t>Person Analysis</t>
    </r>
    <r>
      <rPr>
        <sz val="12"/>
        <color theme="1"/>
        <rFont val="Bookman Old Style"/>
        <charset val="134"/>
      </rPr>
      <t xml:space="preserve">);
    d. Kesimpulan;
    e. Rekomendasi yang berisi kebutuhan pendidikan 
        atau pelatihan berdasarkan hasil analisis. Bentuk 
        pendidikan atau pelatihan yang direkomendasikan 
        mengacu pada Peraturan Lembaga Administrasi 
        Negara RI Nomor 10 Tahun 2018 tentang Pedoman 
        Pengembangan Kompetensi Pegawai Negeri Sipil. 
        (Dokumen diperoleh dari Biro SDMA, Organisasi 
        dan Ketatalaksanaan).
2. - Untuk UPT: 
       Dokumen inventarisasi kebutuhan pengembangan 
       kompetensi yang ditandatangani oleh Kepala Satuan 
       Kerja, yang disampaikan kepada Kepala Kantor 
       Wilayah dan Sekretariat Jenderal.
     - Untuk Kanwil dan Unit Eselon I: 
       Dokumen inventarisasi kebutuhan pengembangan 
       kompetensi yang ditandatangani oleh Kepala Satuan 
       Kerja, yang disampaikan kepada Sekretariat 
       Jenderal. </t>
    </r>
  </si>
  <si>
    <t>a. Unit Kerja melakukan Training Need Analysis Untuk pengembangan kompetensi.</t>
  </si>
  <si>
    <t>Dalam menyusun rencana pengembangan kompetensi pegawai, telah mempertimbangkan hasil pengelolaan kinerja pegawai.</t>
  </si>
  <si>
    <t xml:space="preserve">a. Jika semua rencana pengembangan 
    kompetensi pegawai mempertimbangkan 
    hasil pengelolaan kinerja pegawai. 
b. Jika sebagian besar rencana pengembangan 
    kompetensi pegawai mempertimbangkan 
    hasil pengelolaan kinerja pegawai. 
c. Jika sebagian kecil rencana pengembangan 
    kompetensi pegawai mempertimbangkan 
    hasil pengelolaan kinerja pegawai. 
d. Jika belum ada rencana pengembangan 
    kompetensi pegawai yang 
    mempertimbangkan hasil pengelolaan 
    kinerja pegawai. </t>
  </si>
  <si>
    <r>
      <rPr>
        <sz val="12"/>
        <color theme="1"/>
        <rFont val="Bookman Old Style"/>
        <charset val="134"/>
      </rPr>
      <t>Dokumen Rencana Pengembangan Sumber Daya Manusia Aparatur yang disahkan oleh Sekretaris Jenderal yang sekurangnya memuat:
    1. Analisis ketercapaian sasaran dan target kinerja 
        (</t>
    </r>
    <r>
      <rPr>
        <i/>
        <sz val="12"/>
        <color theme="1"/>
        <rFont val="Bookman Old Style"/>
        <charset val="134"/>
      </rPr>
      <t>Organizational Analysis</t>
    </r>
    <r>
      <rPr>
        <sz val="12"/>
        <color theme="1"/>
        <rFont val="Bookman Old Style"/>
        <charset val="134"/>
      </rPr>
      <t>);
    2. Analisis kesesuaian pelaksanaan tugas dan fungsi 
        tiap pejabat/pegawai dalam rangka pencapaian 
        sasaran dan target kinerja (</t>
    </r>
    <r>
      <rPr>
        <i/>
        <sz val="12"/>
        <color theme="1"/>
        <rFont val="Bookman Old Style"/>
        <charset val="134"/>
      </rPr>
      <t>Task Analysis</t>
    </r>
    <r>
      <rPr>
        <sz val="12"/>
        <color theme="1"/>
        <rFont val="Bookman Old Style"/>
        <charset val="134"/>
      </rPr>
      <t>);
    3. Analisis kesesuaian dan kesenjangan kompetensi 
        pejabat/pegawai dibandingkan dengan standar 
        kompetensi yang telah ditetapkan sesuai tugas dan 
        fungsinya (</t>
    </r>
    <r>
      <rPr>
        <i/>
        <sz val="12"/>
        <color theme="1"/>
        <rFont val="Bookman Old Style"/>
        <charset val="134"/>
      </rPr>
      <t>Person Analysis</t>
    </r>
    <r>
      <rPr>
        <sz val="12"/>
        <color theme="1"/>
        <rFont val="Bookman Old Style"/>
        <charset val="134"/>
      </rPr>
      <t xml:space="preserve">);
    4. Kesimpulan;
    5. Rekomendasi yang berisi kebutuhan pendidikan 
        atau pelatihan berdasarkan hasil analisis. Bentuk 
        pendidikan atau pelatihan yang direkomendasikan 
        mengacu pada Peraturan Lembaga Administrasi 
        Negara RI Nomor 10 Tahun 2018 tentang Pedoman 
        Pengembangan Kompetensi Pegawai Negeri Sipil. 
        (Dokumen diperoleh dari Biro Sumber Daya Manusia Aparatur, 
        Organisasi dan Ketatalaksanaan).
</t>
    </r>
  </si>
  <si>
    <t>b. Dalam menyusun rencana pengembangan kompetensi pegawai, telah mempertimbangkan hasil pengelolaan kinerja pegawai.</t>
  </si>
  <si>
    <t xml:space="preserve"> Tingkat kesenjangan kompetensi pegawai yang ada dengan standar kompetensi yang ditetapkan untuk masing-masing jabatan. </t>
  </si>
  <si>
    <t xml:space="preserve">a. Jika persentase kesenjangan kompetensi 
    pegawai dengan standar kompetensi yang 
    ditetapkan sebesar &lt;25%. 
b. Jika persentase kesenjangan kompetensi 
    pegawai dengan standar kompetensi yang 
    ditetapkan sebesar &gt;25%-50%. 
c. Jika  sebagian besar kompetensi pegawai 
    dengan standar kompetensi yang ditetapkan 
    untuk masing-masing jabatan &gt;50% -75%. 
d. Jika persentase kesenjangan kompetensi 
    pegawai dengan standar kompetensi yang 
    ditetapkan sebesar &gt;75%-100%. </t>
  </si>
  <si>
    <t xml:space="preserve">Laporan Analisa Pemetaan Kesenjangan Kompetensi Pegawai yang memuat data seluruh pegawai dibandingkan dengan data hasil penilaian kompetensi pegawai dengan standar kompetensi jabatan disertai lampiran data hasil uji kompetensi pada STAR ASN. </t>
  </si>
  <si>
    <t xml:space="preserve">c.  Tingkat kesenjangan kompetensi pegawai yang ada dengan standar kompetensi yang ditetapkan untuk masing-masing jabatan. </t>
  </si>
  <si>
    <t xml:space="preserve">Pegawai di Unit Kerja telah memperoleh kesempatan/hak untuk mengikuti diklat maupun pengembangan kompetensi lainnya. </t>
  </si>
  <si>
    <t xml:space="preserve">a. Jika seluruh pegawai di Unit Kerja telah 
    memperoleh kesempatan/hak untuk 
    mengikuti diklat maupun pengembangan 
    kompetensi lainnya. 
b. Jika sebagian besar pegawai di Unit Kerja 
    telah memperoleh kesempatan/hak untuk 
    mengikuti diklat maupun pengembangan 
    kompetensi lainnya. 
c. Jika sebagian kecil pegawai di Unit Kerja 
    telah memperoleh kesempatan/hak untuk 
    mengikuti diklat maupun pengembangan 
    kompetensi lainnya. 
d. Jika belum ada pegawai di Unit Kerja telah 
    memperoleh kesempatan/hak untuk 
    mengikuti diklat maupun pengembangan 
    kompetensi lainnya. </t>
  </si>
  <si>
    <r>
      <rPr>
        <sz val="12"/>
        <color theme="1"/>
        <rFont val="Bookman Old Style"/>
        <charset val="134"/>
      </rPr>
      <t xml:space="preserve">1. Rekapitulasi data seluruh pegawai yang telah 
    mengikuti pendidikan dan pelatihan, </t>
    </r>
    <r>
      <rPr>
        <i/>
        <sz val="12"/>
        <color theme="1"/>
        <rFont val="Bookman Old Style"/>
        <charset val="134"/>
      </rPr>
      <t>coaching</t>
    </r>
    <r>
      <rPr>
        <sz val="12"/>
        <color theme="1"/>
        <rFont val="Bookman Old Style"/>
        <charset val="134"/>
      </rPr>
      <t xml:space="preserve">, </t>
    </r>
    <r>
      <rPr>
        <i/>
        <sz val="12"/>
        <color theme="1"/>
        <rFont val="Bookman Old Style"/>
        <charset val="134"/>
      </rPr>
      <t>mentoring</t>
    </r>
    <r>
      <rPr>
        <sz val="12"/>
        <color theme="1"/>
        <rFont val="Bookman Old Style"/>
        <charset val="134"/>
      </rPr>
      <t>, bimbingan 
    teknis, sosialisasi, training atau pengembangan kompetensi 
    lainnya dengan mengacu pada Lampiran Peraturan 
    Lembaga Administrasi Negara Nomor 10 Tahun 2018 tentang 
    Pengembangan Kompetensi Pegawai Negeri Sipil.
2. Sertifikat/ Piagam/ Surat Keterangan yang menerangkan 
    keikutsertaan pengembangan kompetensi 
    berdasarkan rekapitulasi data seluruh pegawai yang telah 
    mengikuti pengembangan kompetensi.</t>
    </r>
  </si>
  <si>
    <t xml:space="preserve">d. Pegawai di Unit Kerja telah memperoleh kesempatan/hak untuk mengikuti diklat maupun pengembangan kompetensi lainnya. </t>
  </si>
  <si>
    <t>e.</t>
  </si>
  <si>
    <r>
      <rPr>
        <sz val="12"/>
        <color theme="1"/>
        <rFont val="Bookman Old Style"/>
        <charset val="134"/>
      </rPr>
      <t>Dalam pelaksanaan pengembangan kompetensi, unit kerja melakukan upaya pengembangan kompetensi kepada pegawai (seperti pengikutsertaan pada lembaga pelatihan, i</t>
    </r>
    <r>
      <rPr>
        <i/>
        <sz val="12"/>
        <color theme="1"/>
        <rFont val="Bookman Old Style"/>
        <charset val="134"/>
      </rPr>
      <t>n-house training</t>
    </r>
    <r>
      <rPr>
        <sz val="12"/>
        <color theme="1"/>
        <rFont val="Bookman Old Style"/>
        <charset val="134"/>
      </rPr>
      <t xml:space="preserve">, coaching, atau mentoring). </t>
    </r>
  </si>
  <si>
    <t>a. Jika unit kerja melakukan upaya 
    pengembangan kompetensi kepada seluruh 
    pegawai.
b. Jika unit kerja melakukan upaya 
    pengembangan kompetensi kepada sebagian 
    besar pegawai.
c. Jika unit kerja melakukan upaya 
    pengembangan kompetensi kepada sebagian 
    kecil pegawai.
d. Jika unit kerja belum melakukan upaya 
    pengembangan kompetensi kepada pegawai.</t>
  </si>
  <si>
    <r>
      <rPr>
        <sz val="12"/>
        <color theme="1"/>
        <rFont val="Bookman Old Style"/>
        <charset val="134"/>
      </rPr>
      <t xml:space="preserve">1. Dokumen kegiatan seperti pengikutsertaan pada lembaga      
</t>
    </r>
    <r>
      <rPr>
        <sz val="12"/>
        <color rgb="FFFF0000"/>
        <rFont val="Bookman Old Style"/>
        <charset val="134"/>
      </rPr>
      <t xml:space="preserve">    </t>
    </r>
    <r>
      <rPr>
        <sz val="12"/>
        <color theme="1"/>
        <rFont val="Bookman Old Style"/>
        <charset val="134"/>
      </rPr>
      <t xml:space="preserve">pelatihan, </t>
    </r>
    <r>
      <rPr>
        <i/>
        <sz val="12"/>
        <color theme="1"/>
        <rFont val="Bookman Old Style"/>
        <charset val="134"/>
      </rPr>
      <t>in house training</t>
    </r>
    <r>
      <rPr>
        <sz val="12"/>
        <color theme="1"/>
        <rFont val="Bookman Old Style"/>
        <charset val="134"/>
      </rPr>
      <t>, pelatihan, mentoring atau</t>
    </r>
    <r>
      <rPr>
        <sz val="12"/>
        <color rgb="FFFF0000"/>
        <rFont val="Bookman Old Style"/>
        <charset val="134"/>
      </rPr>
      <t xml:space="preserve"> 
</t>
    </r>
    <r>
      <rPr>
        <sz val="12"/>
        <color theme="1"/>
        <rFont val="Bookman Old Style"/>
        <charset val="134"/>
      </rPr>
      <t xml:space="preserve">    kegiatan yang bersifat pengembangan kompetensi, yang
    dilakukan oleh Pegawai atau Pejabat yang telah mengikuti
    pengembangan kompetensi (dengan mengacu pada Lampiran
    PerkaLAN Nomor 10 Tahun 2018 Tentang Pengembangan
    Kompetensi PNS) di Lingkungan Satuan Kerja itu sendiri 
    berupa:
    a. Undangan/Surat Perintah/SK Kepala Satuan Kerja;
    b. Daftar hadir;
    c. Laporan kegiatan;
    d. </t>
    </r>
    <r>
      <rPr>
        <i/>
        <sz val="12"/>
        <color theme="1"/>
        <rFont val="Bookman Old Style"/>
        <charset val="134"/>
      </rPr>
      <t xml:space="preserve">Print out </t>
    </r>
    <r>
      <rPr>
        <sz val="12"/>
        <color theme="1"/>
        <rFont val="Bookman Old Style"/>
        <charset val="134"/>
      </rPr>
      <t xml:space="preserve">materi;
    e. Dokumentasi foto.
Format dokumen mengacu pada ketentuan yang berlaku di lingkungan KemenIMIPAS yang mengatur mengenai tata naskah dinas;
2. Rekapitulasi pengembangan kompetensi pegawai.
Keterangan: 
Jika terdapat update data diunggah pada triwulan berikutnya jika tidak menggunakan data triwulan sebelumnya.
</t>
    </r>
  </si>
  <si>
    <t xml:space="preserve">e. Dalam pelaksanaan pengembangan kompetensi, unit kerja melakukan upaya pengembangan kompetensi kepada pegawai (seperti pengikutsertaan pada lembaga pelatihan, in-house training, coaching, atau mentoring). </t>
  </si>
  <si>
    <t>f.</t>
  </si>
  <si>
    <t>Telah dilakukan monitoring dan evaluasi terhadap hasil pengembangan kompetensi dalam kaitannya dengan perbaikan kinerja.</t>
  </si>
  <si>
    <t>a. Jika monitoring dan evaluasi terhadap hasil 
    pengembangan kompetensi dalam kaitannya 
    dengan perbaikan kinerja telah dilakukan 
    secara berkala. 
b. Jika monitoring dan evaluasi terhadap hasil 
    pengembangan kompetensi dalam kaitannya 
    dengan perbaikan kinerja telah dilakukan 
    namun tidak secara berkala. 
c. Jika monitoring dan evaluasi terhadap hasil 
    pengembangan kompetensi dalam kaitannya 
    dengan perbaikan kinerja belum dilakukan.</t>
  </si>
  <si>
    <t xml:space="preserve">1. Dokumen laporan hasil monitoring dan evaluasi terhadap hasil  
    pengembangan kompetensi dalam kaitannya dengan 
    perbaikan kinerja. Laporan Monev Tahunan
2. Dokumen laporan monitoring dan evaluasi kegiatan   
    pengembangan kompetensi yang didapatkan dari BPSDM
    melalui Biro Perencanaan dan Keuangan
Keterangan: 
Apabila belum tersedia data dukung poin 2, maka dipenuhi dengan Surat Pernyataan Kepala Biro Perencanaan dan Keuangan
</t>
  </si>
  <si>
    <t>f. Telah dilakukan monitoring dan evaluasi terhadap hasil pengembangan kompetensi dalam kaitannya dengan perbaikan kinerja.</t>
  </si>
  <si>
    <t xml:space="preserve">Penetapan Kinerja Individu </t>
  </si>
  <si>
    <t xml:space="preserve"> </t>
  </si>
  <si>
    <t>Terdapat penetapan kinerja individu yang terkait dengan perjanjian kinerja organisasi.</t>
  </si>
  <si>
    <t>a. Jika seluruh penetapan kinerja individu 
    terkait dengan kinerja organisasi serta 
    perjanjian kinerja selaras dengan sasaran 
    kinerja pegawai (SKP).
b. Jika sebagian besar penetapan kinerja 
    individu terkait dengan kinerja organisasi.
c. Jika sebagian kecil penetapan kinerja 
    individu terkait dengan kinerja organisasi.
d. Jika belum ada penetapan kinerja individu 
    terkait dengan kinerja organisasi.</t>
  </si>
  <si>
    <t xml:space="preserve">1. Dokumen SKP (berdasar ketentuan terbaru) 10 orang 
    pegawai  dan pejabat (secara berjenjang) yang disetujui dan 
    ditandatangani oleh atasan langsung.
2. Dokumen Perjanjian Kinerja Kepala Satuan Kerja yang 
    disetujui dan ditandatangani oleh atasan langsung.
3. Dokumen Perjanjian Kinerja Pejabat Struktural yang 
    disetujui dan ditandatangani oleh Kepala Satuan Kerja.
</t>
  </si>
  <si>
    <t>a. Terdapat penetapan kinerja individu yang terkait dengan perjanjian kinerja organisasi</t>
  </si>
  <si>
    <t>Ukuran kinerja individu telah memiliki kesesuaian dengan indikator kinerja individu level diatasnya.</t>
  </si>
  <si>
    <r>
      <rPr>
        <sz val="12"/>
        <color theme="1"/>
        <rFont val="Bookman Old Style"/>
        <charset val="134"/>
      </rPr>
      <t xml:space="preserve">a. Jika seluruh ukuran kinerja individu telah 
    memiliki kesesuaian dengan indikator 
    kinerja individu level diatasnya serta 
    menggambarkan </t>
    </r>
    <r>
      <rPr>
        <i/>
        <sz val="12"/>
        <color theme="1"/>
        <rFont val="Bookman Old Style"/>
        <charset val="134"/>
      </rPr>
      <t>logic model.</t>
    </r>
    <r>
      <rPr>
        <sz val="12"/>
        <color theme="1"/>
        <rFont val="Bookman Old Style"/>
        <charset val="134"/>
      </rPr>
      <t xml:space="preserve">
b. Jika sebagian besar ukuran kinerja individu 
    telah memiliki kesesuaian dengan indikator 
    kinerja individu level diatasnya.
c. Jika sebagian kecil ukuran kinerja individu 
    telah memiliki kesesuaian dengan indikator 
    kinerja individu level diatasnya.
d. Jika ukuran kinerja individu belum memiliki 
    kesesuaian dengan indikator kinerja individu 
    level diatasnya.</t>
    </r>
  </si>
  <si>
    <t>1. Dokumen Perjanjian Kinerja.
2. Dokumen Sasaran Kinerja Pegawai disusun secara berjenjang
    dari pimpinan satuan kerja sampai dengan pegawai 
    dibawahnya.</t>
  </si>
  <si>
    <t>b. Ukuran kinerja individu telah memiliki kesesuaian dengan indikator kinerja individu level diatasnya.</t>
  </si>
  <si>
    <t>Pengukuran kinerja individu dilakukan secara periodik.</t>
  </si>
  <si>
    <t xml:space="preserve">a. Jika pengukuran kinerja individu dilakukan 
    secara bulanan.
b. Jika pengukuran kinerja individu dilakukan 
    secara triwulanan.
c. Jika pengukuran kinerja individu dilakukan 
    secara semesteran.
d. Jika pengukuran kinerja individu dilakukan 
    secara tahunan.
e. Jika pengukuran kinerja individu belum 
    dilakukan. </t>
  </si>
  <si>
    <r>
      <rPr>
        <sz val="12"/>
        <color theme="1"/>
        <rFont val="Bookman Old Style"/>
        <charset val="134"/>
      </rPr>
      <t xml:space="preserve">1. Dokumen Umpan Balik Kinerja Pegawai setiap bulan;
2. Jurnal harian pegawai berdasarkan </t>
    </r>
    <r>
      <rPr>
        <i/>
        <sz val="12"/>
        <color theme="1"/>
        <rFont val="Bookman Old Style"/>
        <charset val="134"/>
      </rPr>
      <t xml:space="preserve">cascading </t>
    </r>
    <r>
      <rPr>
        <sz val="12"/>
        <color theme="1"/>
        <rFont val="Bookman Old Style"/>
        <charset val="134"/>
      </rPr>
      <t xml:space="preserve">pada SKP yang 
    diakumulasikan selama satu bulan;
3. Penilaian SKP per triwulan.
</t>
    </r>
  </si>
  <si>
    <t>c. Pengukuran kinerja individu dilakukan secara periodik.</t>
  </si>
  <si>
    <r>
      <rPr>
        <sz val="12"/>
        <color theme="1"/>
        <rFont val="Bookman Old Style"/>
        <charset val="134"/>
      </rPr>
      <t xml:space="preserve">Hasil penilaian kinerja individu telah dijadikan dasar untuk pemberian </t>
    </r>
    <r>
      <rPr>
        <i/>
        <sz val="12"/>
        <color theme="1"/>
        <rFont val="Bookman Old Style"/>
        <charset val="134"/>
      </rPr>
      <t>reward</t>
    </r>
    <r>
      <rPr>
        <sz val="12"/>
        <color theme="1"/>
        <rFont val="Bookman Old Style"/>
        <charset val="134"/>
      </rPr>
      <t>.</t>
    </r>
  </si>
  <si>
    <r>
      <rPr>
        <sz val="12"/>
        <color theme="1"/>
        <rFont val="Bookman Old Style"/>
        <charset val="134"/>
      </rPr>
      <t xml:space="preserve">Ya, jika hasil hasil penilaian kinerja individu telah dijadikan dasar untuk pemberian </t>
    </r>
    <r>
      <rPr>
        <i/>
        <sz val="12"/>
        <color theme="1"/>
        <rFont val="Bookman Old Style"/>
        <charset val="134"/>
      </rPr>
      <t>reward.</t>
    </r>
    <r>
      <rPr>
        <sz val="12"/>
        <color theme="1"/>
        <rFont val="Bookman Old Style"/>
        <charset val="134"/>
      </rPr>
      <t xml:space="preserve"> (Seperti: pengembangan karir individu, atau penghargaan)</t>
    </r>
  </si>
  <si>
    <r>
      <rPr>
        <sz val="12"/>
        <color theme="1"/>
        <rFont val="Bookman Old Style"/>
        <charset val="134"/>
      </rPr>
      <t xml:space="preserve">1.  Dokumentasi kegiatan rapat pemberian </t>
    </r>
    <r>
      <rPr>
        <i/>
        <sz val="12"/>
        <color theme="1"/>
        <rFont val="Bookman Old Style"/>
        <charset val="134"/>
      </rPr>
      <t>reward</t>
    </r>
    <r>
      <rPr>
        <sz val="12"/>
        <color theme="1"/>
        <rFont val="Bookman Old Style"/>
        <charset val="134"/>
      </rPr>
      <t xml:space="preserve"> berdasarkan 
     hasil penilaian kinerja individu berupa undangan, daftar 
     hadir, dokumentasi foto dan notula.
2.  Surat Keputusan Kepala Satuan Kerja tentang pemberian 
     </t>
    </r>
    <r>
      <rPr>
        <i/>
        <sz val="12"/>
        <color theme="1"/>
        <rFont val="Bookman Old Style"/>
        <charset val="134"/>
      </rPr>
      <t>reward</t>
    </r>
    <r>
      <rPr>
        <sz val="12"/>
        <color theme="1"/>
        <rFont val="Bookman Old Style"/>
        <charset val="134"/>
      </rPr>
      <t xml:space="preserve"> kepada pegawai/pejabat berdasarkan hasil penilaian 
     kinerja individu dan dokumentasi foto simbolis penyerahan 
     </t>
    </r>
    <r>
      <rPr>
        <i/>
        <sz val="12"/>
        <color theme="1"/>
        <rFont val="Bookman Old Style"/>
        <charset val="134"/>
      </rPr>
      <t>reward</t>
    </r>
    <r>
      <rPr>
        <sz val="12"/>
        <color theme="1"/>
        <rFont val="Bookman Old Style"/>
        <charset val="134"/>
      </rPr>
      <t>.</t>
    </r>
  </si>
  <si>
    <t>d. Hasil penilaian kinerja individu telah dijadikan dasar untuk pemberian reward.</t>
  </si>
  <si>
    <t>v.</t>
  </si>
  <si>
    <t xml:space="preserve">Penegakan Aturan Disiplin/Kode Etik/Kode Perilaku Pegawai </t>
  </si>
  <si>
    <t>Aturan disiplin/kode etik/kode perilaku telah dilaksanakan/
diimplementasikan.</t>
  </si>
  <si>
    <t xml:space="preserve">a. Jika unit kerja telah mengimplementasikan 
    seluruh aturan disiplin/kode etik/kode 
    perilaku yang ditetapkan organisasi dan juga 
    membuat inovasi terkait aturan disiplin/kode 
    etik/kode perilaku yang sesuai dengan 
    karakteristik unit kerja.
b. Jika unit kerja telah mengimplementasikan 
    seluruh aturan disiplin/kode etik/kode 
    perilaku yang ditetapkan organisasi. 
c. Jika unit kerja telah mengimplementasikan 
    sebagian aturan disiplin/kode etik/kode 
    perilaku yang ditetapkan organisasi. 
d. Jika unit kerja belum mengimplementasikan 
    aturan disiplin/kode etik/kode perilaku yang 
    ditetapkan organisasi. </t>
  </si>
  <si>
    <r>
      <rPr>
        <sz val="12"/>
        <color theme="1"/>
        <rFont val="Bookman Old Style"/>
        <charset val="134"/>
      </rPr>
      <t xml:space="preserve">1. Laporan implementasi inovasi terkait aturan disiplin/kode etik/kode  
    perilaku pada satuan kerja (jika ada).                                                                                                                              </t>
    </r>
    <r>
      <rPr>
        <b/>
        <sz val="12"/>
        <color theme="1"/>
        <rFont val="Bookman Old Style"/>
        <charset val="134"/>
      </rPr>
      <t>B03:</t>
    </r>
    <r>
      <rPr>
        <sz val="12"/>
        <color theme="1"/>
        <rFont val="Bookman Old Style"/>
        <charset val="134"/>
      </rPr>
      <t xml:space="preserve">
1. Permenkumham Nomor 20 Tahun 2017 tentang Kode Etik 
    dan Perilaku Pegawai Kementerian Hukum dan HAM RI.
2. Kode Etik dan Kode Perilaku Unit Kerja yang memiliki 
    karakteristik khusus (Permenkumham Nomor M.HH-16.KP. 
    05.02 Tahun 2011 untuk Pegawai Pemasyarakatan dan 
    Permenkumham Nomor M.HH-02.KP.05.02 Tahun 2010 
    untuk Pegawai Imigrasi).
3. Dokumen sosialisasi kode etik dan kode perilaku pegawai 
    berupa undangan, daftar hadir, laporan, dokumentasi foto.
</t>
    </r>
    <r>
      <rPr>
        <b/>
        <sz val="12"/>
        <color theme="1"/>
        <rFont val="Bookman Old Style"/>
        <charset val="134"/>
      </rPr>
      <t>B03, B06, B09, B12:</t>
    </r>
    <r>
      <rPr>
        <sz val="12"/>
        <color theme="1"/>
        <rFont val="Bookman Old Style"/>
        <charset val="134"/>
      </rPr>
      <t xml:space="preserve">
1. Laporan Pelaksanaan Penegakan kode etik pada satuan 
    kerja
</t>
    </r>
  </si>
  <si>
    <t>a. "Aturan disiplin/kode etik/kode perilaku telah dilaksanakan/ diimplementasikan."</t>
  </si>
  <si>
    <t>vi.</t>
  </si>
  <si>
    <t xml:space="preserve">Sistem Informasi Kepegawaian </t>
  </si>
  <si>
    <t>Data informasi kepegawaian unit kerja telah dimutakhirkan secara berkala.</t>
  </si>
  <si>
    <t>a. Jika data informasi kepegawaian unit kerja 
    dapat diakses oleh pegawai dan 
    dimutakhirkan setiap ada perubahan data 
    pegawai.
b. Jika data informasi kepegawaian unit kerja 
    dapat diakses oleh pegawai dan  
    dimutakhirkan namun secara berkala.
c. Jika data informasi kepegawaian unit kerja 
   belum dimutakhirkan.</t>
  </si>
  <si>
    <r>
      <rPr>
        <sz val="12"/>
        <color theme="1"/>
        <rFont val="Bookman Old Style"/>
        <charset val="134"/>
      </rPr>
      <t xml:space="preserve">1. </t>
    </r>
    <r>
      <rPr>
        <i/>
        <sz val="12"/>
        <color theme="1"/>
        <rFont val="Bookman Old Style"/>
        <charset val="134"/>
      </rPr>
      <t xml:space="preserve">Screenshot/Printout </t>
    </r>
    <r>
      <rPr>
        <sz val="12"/>
        <color theme="1"/>
        <rFont val="Bookman Old Style"/>
        <charset val="134"/>
      </rPr>
      <t xml:space="preserve">menu Profil 10 orang pegawai/pejabat 
     dari STAR ASN khususnya untuk Sub Menu:
     a. Identitas Pegawai;
     b. Rekam Jejak Kepegawaian (Pangkat, Golongan, Jabatan,  
         SKP, KGB);
     c. Rekam Jejak Pendidikan;
     d. Mutasi.
2. Laporan pelaksanaan pemutakhiran data pegawai setiap kali 
    ada perubahan.
</t>
    </r>
  </si>
  <si>
    <t>a. Data informasi kepegawaian unit kerja telah dimutakhirkan secara berkala.</t>
  </si>
  <si>
    <t>Keterlibatan Pimpinan</t>
  </si>
  <si>
    <t xml:space="preserve">Unit kerja telah melibatkan pimpinan secara langsung pada saat penyusunan perencanaan. </t>
  </si>
  <si>
    <t>a. Jika pimpinan selalu terlibat dalam seluruh 
    tahapan penyusunan perencanaan.
b. Jika pimpinan ikut terlibat dalam sebagian 
    tahapan penyusunan perencanaan.
c. Jika tidak ada keterlibatan pimpinan dalam 
    penyusunan perencanaan (hanya 
    menandatangani).</t>
  </si>
  <si>
    <t xml:space="preserve">1. Dokumen penyusunan perencanaan (RKA-KL):
    a. Undangan;
    b. Daftar hadir;
    c. Notula dan dokumentasi foto;
    d. Usulan RKA-KL kepada Unit Eselon I Pembina atau 
        Sekretariat Jenderal.
2. Dokumen Kegiatan Penandatanganan Perjanjian Kinerja:
    a. Undangan;
    b. Daftar hadir;
    c. Notula dan dokumentasi foto;
    d. Dokumen Perjanjian Kinerja seluruh pejabat struktural
3. Dokumen Penyusunan Rencana Kerja Tahunan:
     a. Undangan;
     b. Daftar hadir;
     c. Notula dan dokumentasi foto;
     d. Usulan Rencana Kerja Tahunan.
Keterangan:
1. Unit Utama, melibatkan seluruh pejabat struktural Eselon II 
    sampai dengan Eselon IV;
2. Kanwil dan UPT, melibatkan Pimti Pratama dan seluruh 
    pejabat administrasi (Eselon III, IV, dan V);
3. Dokumen Perjanjian Kinerja, Perencanaan (RKA K/L dan RKT). </t>
  </si>
  <si>
    <t xml:space="preserve">a. Unit kerja telah melibatkan pimpinan secara langsung pada saat penyusunan perencanaan. </t>
  </si>
  <si>
    <t xml:space="preserve">Unit kerja telah melibatkan secara langsung pimpinan saat penyusunan penetapan kinerja. </t>
  </si>
  <si>
    <t xml:space="preserve">a. Jika pimpinan selalu terlibat dalam seluruh 
    tahapan penyusunan perjanjian kinerja.
b. Jika pimpinan terlibat dalam sebagian 
    tahapan penyusunan perjanjian kinerja.
c. Jika tidak ada keterlibatan pimpinan dalam 
    penyusunan perjanjian kinerja. </t>
  </si>
  <si>
    <t xml:space="preserve">1. Dokumen kegiatan rapat penyusunan penetapan kinerja:
    a. Undangan;
    b. Daftar hadir;
    c. Notula dan dokumentasi foto.
2. Dokumen perjanjian kinerja yang sudah ditandatangani oleh 
    pimpinan/kepala Satuan Kerja.
3. Dokumentasi Foto Pimpinan menandatangani perjanjian 
    kinerja.
</t>
  </si>
  <si>
    <t xml:space="preserve">b. Unit kerja telah melibatkan secara langsung pimpinan saat penyusunan penetapan kinerja. </t>
  </si>
  <si>
    <t xml:space="preserve">Pimpinan memantau pencapaian kinerja secara berkala. </t>
  </si>
  <si>
    <t>a. Jika pimpinan selalu terlibat dalam seluruh 
    pemantauan pencapaian kinerja dan 
    menindaklanjuti hasil pemantauan.
b. Jika pimpinan unit kerja terlibat dalam 
    seluruh pemantauan pencapaian kinerja 
    tetapi tidak ada tindak lanjut hasil 
    pemantauan.
c. Jika pimpinan unit kerja terlibat dalam 
    sebagian pemantauan pencapaian kinerja.
d. Jika tidak ada keterlibatan pimpinan dalam 
    pemantauan pencapaian kinerja.</t>
  </si>
  <si>
    <t xml:space="preserve">1. Dokumen monitoring dan evaluasi atas Pencapaian Kinerja:
    a. Undangan;
    b. Daftar hadir;
    c. Notula dan dokumentasi foto;
    d. Laporan Monitoring dan Evaluasi atas Pencapaian Kinerja.
    e. Laporan Tindak Lanjut Hasil Monitoring dan Evaluasi atas 
        Pencapaian Kinerja.
2. Dokumen rapat monev anggaran:
    a. Undangan;
    b. Daftar hadir;
    c. Notula dan dokumentasi foto;
    d. Laporan.
Keterangan:
Pimpinan terlibat pada saat pemantauan capaian kinerja.
</t>
  </si>
  <si>
    <t xml:space="preserve">c. Pimpinan memantau pencapaian kinerja secara berkala. </t>
  </si>
  <si>
    <t xml:space="preserve">Pengelolaan Akuntabilitas Kinerja </t>
  </si>
  <si>
    <t>Dokumen perencanaan kinerja sudah ada.</t>
  </si>
  <si>
    <t>ya, jika unit kerja memiliki dokumen perencanaan kinerja lengkap.</t>
  </si>
  <si>
    <t xml:space="preserve">1. Dokumen Renstra Unit Eselon I Pembina (untuk UPT).
2. Dokumen Renstra Unit Kerja.
3. Dokumen Renja (RKT).
4. Dokumen RKA-K/L.
5. Perjanjian Kinerja.
Keterangan : 
Apabila belum tersedia data dukung 1 sampai dengan 3, maka dipenuhi dengan Surat Pernyataan Kepala Satker. </t>
  </si>
  <si>
    <t>a. Dokumen perencanaan kinerja sudah ada.</t>
  </si>
  <si>
    <t xml:space="preserve">Perencanaan kinerja telah berorientasi hasil. </t>
  </si>
  <si>
    <t xml:space="preserve">ya, jika perencanaan kinerja telah berorientasi hasil. </t>
  </si>
  <si>
    <t xml:space="preserve">1. Dokumen Renstra Unit Eselon I Pembina (untuk UPT). 
2. Dokumen Renstra Unit Kerja. 
3. Dokumen Renja (RKT). 
4. Dokumen RKA-K/L. 
5. Perjanjian Kinerja. 
Keterangan:
Apabila belum tersedia data dukung 1 sampai dengan 3, maka dipenuhi dengan Surat Pernyataan Kepala Satker. </t>
  </si>
  <si>
    <t xml:space="preserve">b. Perencanaan kinerja telah berorientasi hasil. </t>
  </si>
  <si>
    <t>Terdapat penetapan Indikator Kinerja Utama (IKU).</t>
  </si>
  <si>
    <t>ya, jika unit kerja memiliki IKU.</t>
  </si>
  <si>
    <t xml:space="preserve">1. Dokumen Renstra Unit Kerja.
2. Dokumen Renja.
3. Dokumen Perjanjian Kinerja.
Keterangan : 
Renja diperoleh dari aplikasi SAKTI (pada menu laporan sub menu RKA Satker di form bagian A - Rencana Kinerja Satker. </t>
  </si>
  <si>
    <t>c. Terdapat penetapan Indikator Kinerja Utama (IKU).</t>
  </si>
  <si>
    <t>Indikator kinerja telah telah memenuhi kriteria SMART.</t>
  </si>
  <si>
    <t xml:space="preserve">a. Jika seluruh indikator kinerja telah SMART.
b. Jika sebagian besar indikator kinerja telah 
    SMART. 
c. Jika sebagian kecil indikator kinerja telah 
    SMART. 
d. Jika belum ada indikator kinerja yang 
    SMART. </t>
  </si>
  <si>
    <t xml:space="preserve">1. Dokumen Renstra Unit Kerja.
2. Dokumen Renja.
3. Dokumen Perjanjian Kinerja.
Keterangan: 
1. Renja diperoleh dari aplikasi SAKTI (pada menu laporan sub 
   menu RKA Satker di form bagian A - Rencana Kinerja Satker.
2. TPI wajib melakukan penilaian terhadap IKU satuan kerja 
   apakah telah memenuhi prinsip SMART. </t>
  </si>
  <si>
    <t>d. Indikator kinerja telah telah memenuhi kriteria SMART.</t>
  </si>
  <si>
    <t xml:space="preserve">Laporan kinerja telah disusun tepat waktu. </t>
  </si>
  <si>
    <t xml:space="preserve">Ya, jika unit kerja telah menyusun laporan kinerja tepat waktu. </t>
  </si>
  <si>
    <t xml:space="preserve">1. Dokumen LKj (Laporan Kinerja) mengacu kepada format yang    
    ditetapkan dalam Pedoman Menteri IMIPAS No. MIP-OT.02.
    02-49 Tahun 2025 tentang Pedoman Penyusunan Laporan 
    Kinerja Instansi Pemerintah di lingkungan Kementerian
    Imigrasi dan Pemasyarakatan;
2. Surat Pengantar penyampaian Laporan Kinerja, dengan    
    mekanisme penyampaian sebagaimana diatur dalam Pedoman
    Menteri IMIPAS No. MIP-OT.02.02-49 Tahun 2025 tentang 
    Pedoman Penyusunan Laporan Kinerja Instansi Pemerintah 
    di lingkungan Kementerian Imigrasi dan Pemasyarakatan
</t>
  </si>
  <si>
    <t xml:space="preserve">e. Laporan kinerja telah disusun tepat waktu. </t>
  </si>
  <si>
    <t xml:space="preserve">Laporan kinerja telah memberikan informasi tentang kinerja. </t>
  </si>
  <si>
    <t>a. Jika seluruh pelaporan kinerja telah 
    memberikan informasi tentang kinerja.
b. Jika sebagian pelaporan kinerja belum 
    memberikan informasi tentang kinerja.
c. Jika seluruh pelaporan kinerja belum 
    memberikan informasi tentang kinerja.</t>
  </si>
  <si>
    <t xml:space="preserve">1. Dokumen LKj (Laporan Kinerja) mengacu kepada format yang    
    ditetapkan dalam Pedoman Menteri IMIPAS No. MIP-OT.02.
    02-49 Tahun 2025 tentang Pedoman Penyusunan Laporan 
    Kinerja Instansi Pemerintah di lingkungan Kementerian
    Imigrasi dan Pemasyarakatan;
2. Surat Pernyataan Telah di Reviu, yang ditandatangani oleh  
    pimpinan Aparatur Pengawasan Intern Pemerintah (APIP)
    Kementerian Imigrasi dan Pemasyarakatan
</t>
  </si>
  <si>
    <t xml:space="preserve">f. Laporan kinerja telah memberikan informasi tentang kinerja. </t>
  </si>
  <si>
    <t>g.</t>
  </si>
  <si>
    <t>Terdapat sistem informasi/mekanisme informasi kinerja.</t>
  </si>
  <si>
    <t>ya, jika terdapat sistem informasi/mekanisme informasi kinerja.</t>
  </si>
  <si>
    <r>
      <rPr>
        <sz val="12"/>
        <color theme="1"/>
        <rFont val="Bookman Old Style"/>
        <charset val="134"/>
      </rPr>
      <t xml:space="preserve">1. Surat tugas mengikuti kegiatan </t>
    </r>
    <r>
      <rPr>
        <i/>
        <sz val="12"/>
        <color theme="1"/>
        <rFont val="Bookman Old Style"/>
        <charset val="134"/>
      </rPr>
      <t>workshop, in house training</t>
    </r>
    <r>
      <rPr>
        <sz val="12"/>
        <color theme="1"/>
        <rFont val="Bookman Old Style"/>
        <charset val="134"/>
      </rPr>
      <t xml:space="preserve">, 
    bimtek, sosialisasi, dan seminar terkait dengan penyusunan 
    LKjIP. 
2. Sertifikat Pelatihan/Kegiatan melalui </t>
    </r>
    <r>
      <rPr>
        <i/>
        <sz val="12"/>
        <color theme="1"/>
        <rFont val="Bookman Old Style"/>
        <charset val="134"/>
      </rPr>
      <t>workshop, in house 
    training</t>
    </r>
    <r>
      <rPr>
        <sz val="12"/>
        <color theme="1"/>
        <rFont val="Bookman Old Style"/>
        <charset val="134"/>
      </rPr>
      <t xml:space="preserve">, bimtek, sosialisasi, dan seminar terkait dengan 
    penyusunan LKjIP
Keterangan: 
a. Sertifikat pelatihan hanya dikeluarkan oleh lembaga pelatihan 
    (BPSDM) sedangkan sertifikat kegiatan dapat dikeluarkan 
    oleh penyelenggara kegiatan (Kanwil). 
b. Jika terdapat </t>
    </r>
    <r>
      <rPr>
        <i/>
        <sz val="12"/>
        <color theme="1"/>
        <rFont val="Bookman Old Style"/>
        <charset val="134"/>
      </rPr>
      <t xml:space="preserve">update </t>
    </r>
    <r>
      <rPr>
        <sz val="12"/>
        <color theme="1"/>
        <rFont val="Bookman Old Style"/>
        <charset val="134"/>
      </rPr>
      <t>data dukung diunggah pada triwulan 
    berikutnya, jika tidak menggunakan data dukung terakhir.</t>
    </r>
  </si>
  <si>
    <t>g. Terdapat sistem informasi/mekanisme informasi kinerja.</t>
  </si>
  <si>
    <t>h</t>
  </si>
  <si>
    <t>Unit kerja telah berupaya meningkatkan kapasitas SDM yang menangangi akuntabilitas kinerja.</t>
  </si>
  <si>
    <t>a. Jika seluruh SDM pengelola akuntabilitas 
    kinerja kompeten.
b. Jika sebagian SDM pengelola akuntabilitas 
    kinerja kompeten.
c. Jika seluruh SDM pengelola akuntabilitas 
    kinerja belum ada yang kompeten.</t>
  </si>
  <si>
    <r>
      <rPr>
        <sz val="12"/>
        <color theme="1"/>
        <rFont val="Bookman Old Style"/>
        <charset val="134"/>
      </rPr>
      <t>1. Sertifikat mengikuti kegiatan Bimtek atau Diklat LKIP yang 
    diselenggarakan oleh Kanwil atau Unit Eselon I Pembina. 
    Jika satuan kerja mengikuti bimtek/</t>
    </r>
    <r>
      <rPr>
        <i/>
        <sz val="12"/>
        <color theme="1"/>
        <rFont val="Bookman Old Style"/>
        <charset val="134"/>
      </rPr>
      <t>coaching</t>
    </r>
    <r>
      <rPr>
        <sz val="12"/>
        <color theme="1"/>
        <rFont val="Bookman Old Style"/>
        <charset val="134"/>
      </rPr>
      <t xml:space="preserve">/sosialiasi LKIP 
    secara mandiri atau </t>
    </r>
    <r>
      <rPr>
        <i/>
        <sz val="12"/>
        <color theme="1"/>
        <rFont val="Bookman Old Style"/>
        <charset val="134"/>
      </rPr>
      <t>online</t>
    </r>
    <r>
      <rPr>
        <sz val="12"/>
        <color theme="1"/>
        <rFont val="Bookman Old Style"/>
        <charset val="134"/>
      </rPr>
      <t xml:space="preserve">, dapat menyertakan bukti sebagai 
    berikut:
    a. Undangan;
    b. Daftar Hadir;
    c. Dokumentasi Foto Kegiatan.
2. Dokumen laporan kegiatan mengikuti bimtek dan sosialisasi 
    terkait dengan penyusunan LKIP.
3. Dokumen usulan pegawai untuk mengikuti bimtek dan 
    sosialisasi terkait dengan penyusunan LKIP.                                                                                                   
4. Rekapitulasi SDM pengelola akuntabilitas kinerja yang telah 
    mengikuti pengembangan kompetensi kaitan pengelolaan
    akuntabilitas kinerja
Keterangan:
a. Jika tidak ada pegawai yang mengikuti Bimtek atau Diklat 
    LKIP pada tahun berjalan, dapat menggunakan sertifikat 
    dan dokumen pada tahun sebelumnya
b. Jika pegawai pada satker yang bersangkutan belum pernah 
    mengikuti Bimtek atau Diklat LKIP, harus membuat surat 
    pernyataan bahwa belum pernah dilakukan Bimtek atau 
    Diklat LKIP. 
c. Sertifikat pelatihan hanya dikeluarkan oleh lembaga 
    pelatihan  (BPSDM) sedangkan sertifikat kegiatan dapat  
    dikeluarkan oleh penyelenggara kegiatan (Kanwil). 
d. Jika terdapat </t>
    </r>
    <r>
      <rPr>
        <i/>
        <sz val="12"/>
        <color theme="1"/>
        <rFont val="Bookman Old Style"/>
        <charset val="134"/>
      </rPr>
      <t xml:space="preserve">update </t>
    </r>
    <r>
      <rPr>
        <sz val="12"/>
        <color theme="1"/>
        <rFont val="Bookman Old Style"/>
        <charset val="134"/>
      </rPr>
      <t xml:space="preserve">data dukung diunggah pada triwulan 
    berikutnya, jika tidak menggunakan data dukung terakhir. </t>
    </r>
  </si>
  <si>
    <t>h. Unit kerja telah berupaya meningkatkan kapasitas SDM yang menangangi akuntabilitas kinerja.</t>
  </si>
  <si>
    <t xml:space="preserve">Pengendalian Gratifikasi </t>
  </si>
  <si>
    <r>
      <rPr>
        <sz val="12"/>
        <color theme="1"/>
        <rFont val="Bookman Old Style"/>
        <charset val="134"/>
      </rPr>
      <t xml:space="preserve">Telah dilakukan </t>
    </r>
    <r>
      <rPr>
        <i/>
        <sz val="12"/>
        <color theme="1"/>
        <rFont val="Bookman Old Style"/>
        <charset val="134"/>
      </rPr>
      <t xml:space="preserve">public campaign </t>
    </r>
    <r>
      <rPr>
        <sz val="12"/>
        <color theme="1"/>
        <rFont val="Bookman Old Style"/>
        <charset val="134"/>
      </rPr>
      <t>tentang pengendalian gratifikasi.</t>
    </r>
  </si>
  <si>
    <r>
      <rPr>
        <sz val="12"/>
        <color theme="1"/>
        <rFont val="Bookman Old Style"/>
        <charset val="134"/>
      </rPr>
      <t>a. Jika</t>
    </r>
    <r>
      <rPr>
        <i/>
        <sz val="12"/>
        <color theme="1"/>
        <rFont val="Bookman Old Style"/>
        <charset val="134"/>
      </rPr>
      <t xml:space="preserve"> public campaign</t>
    </r>
    <r>
      <rPr>
        <sz val="12"/>
        <color theme="1"/>
        <rFont val="Bookman Old Style"/>
        <charset val="134"/>
      </rPr>
      <t xml:space="preserve"> telah dilakukan secara 
    berkala. 
b. Jika </t>
    </r>
    <r>
      <rPr>
        <i/>
        <sz val="12"/>
        <color theme="1"/>
        <rFont val="Bookman Old Style"/>
        <charset val="134"/>
      </rPr>
      <t>public campaign</t>
    </r>
    <r>
      <rPr>
        <sz val="12"/>
        <color theme="1"/>
        <rFont val="Bookman Old Style"/>
        <charset val="134"/>
      </rPr>
      <t xml:space="preserve"> dilakukan tidak secara 
    berkala.
c. Jika belum dilakukan </t>
    </r>
    <r>
      <rPr>
        <i/>
        <sz val="12"/>
        <color theme="1"/>
        <rFont val="Bookman Old Style"/>
        <charset val="134"/>
      </rPr>
      <t xml:space="preserve">public campaign. </t>
    </r>
  </si>
  <si>
    <r>
      <rPr>
        <sz val="12"/>
        <color theme="1"/>
        <rFont val="Bookman Old Style"/>
        <charset val="134"/>
      </rPr>
      <t xml:space="preserve">1. Dokumen Kegiatan </t>
    </r>
    <r>
      <rPr>
        <i/>
        <sz val="12"/>
        <color theme="1"/>
        <rFont val="Bookman Old Style"/>
        <charset val="134"/>
      </rPr>
      <t>Public campaign</t>
    </r>
    <r>
      <rPr>
        <sz val="12"/>
        <color theme="1"/>
        <rFont val="Bookman Old Style"/>
        <charset val="134"/>
      </rPr>
      <t xml:space="preserve"> tentang pengendalian 
    gratifikasi:
    a. Undangan;
    b. Daftar hadir;
    c. Notula dan dokumentasi foto;
    d. Laporan Kegiatan </t>
    </r>
    <r>
      <rPr>
        <i/>
        <sz val="12"/>
        <color theme="1"/>
        <rFont val="Bookman Old Style"/>
        <charset val="134"/>
      </rPr>
      <t>Public Campaign</t>
    </r>
    <r>
      <rPr>
        <sz val="12"/>
        <color theme="1"/>
        <rFont val="Bookman Old Style"/>
        <charset val="134"/>
      </rPr>
      <t xml:space="preserve"> pada satuan kerja 
        dilaksanakan secara berkala;
    e. </t>
    </r>
    <r>
      <rPr>
        <i/>
        <sz val="12"/>
        <color theme="1"/>
        <rFont val="Bookman Old Style"/>
        <charset val="134"/>
      </rPr>
      <t>Capture banner</t>
    </r>
    <r>
      <rPr>
        <sz val="12"/>
        <color theme="1"/>
        <rFont val="Bookman Old Style"/>
        <charset val="134"/>
      </rPr>
      <t xml:space="preserve">/spanduk/media </t>
    </r>
    <r>
      <rPr>
        <i/>
        <sz val="12"/>
        <color theme="1"/>
        <rFont val="Bookman Old Style"/>
        <charset val="134"/>
      </rPr>
      <t>public campaign</t>
    </r>
    <r>
      <rPr>
        <sz val="12"/>
        <color theme="1"/>
        <rFont val="Bookman Old Style"/>
        <charset val="134"/>
      </rPr>
      <t xml:space="preserve"> lainnya.
Keterangan:
Selain </t>
    </r>
    <r>
      <rPr>
        <i/>
        <sz val="12"/>
        <color theme="1"/>
        <rFont val="Bookman Old Style"/>
        <charset val="134"/>
      </rPr>
      <t>public Campaign</t>
    </r>
    <r>
      <rPr>
        <sz val="12"/>
        <color theme="1"/>
        <rFont val="Bookman Old Style"/>
        <charset val="134"/>
      </rPr>
      <t xml:space="preserve"> Pengendalian Gratifikasi melalui </t>
    </r>
    <r>
      <rPr>
        <i/>
        <sz val="12"/>
        <color theme="1"/>
        <rFont val="Bookman Old Style"/>
        <charset val="134"/>
      </rPr>
      <t>banner</t>
    </r>
    <r>
      <rPr>
        <sz val="12"/>
        <color theme="1"/>
        <rFont val="Bookman Old Style"/>
        <charset val="134"/>
      </rPr>
      <t xml:space="preserve">/spanduk/media publik lainnya diharapkan pada satuan kerja dapat dilakukan </t>
    </r>
    <r>
      <rPr>
        <i/>
        <sz val="12"/>
        <color theme="1"/>
        <rFont val="Bookman Old Style"/>
        <charset val="134"/>
      </rPr>
      <t>public campaign</t>
    </r>
    <r>
      <rPr>
        <sz val="12"/>
        <color theme="1"/>
        <rFont val="Bookman Old Style"/>
        <charset val="134"/>
      </rPr>
      <t xml:space="preserve"> melalui </t>
    </r>
    <r>
      <rPr>
        <i/>
        <sz val="12"/>
        <color theme="1"/>
        <rFont val="Bookman Old Style"/>
        <charset val="134"/>
      </rPr>
      <t>audio</t>
    </r>
    <r>
      <rPr>
        <sz val="12"/>
        <color theme="1"/>
        <rFont val="Bookman Old Style"/>
        <charset val="134"/>
      </rPr>
      <t xml:space="preserve"> dan/atau </t>
    </r>
    <r>
      <rPr>
        <i/>
        <sz val="12"/>
        <color theme="1"/>
        <rFont val="Bookman Old Style"/>
        <charset val="134"/>
      </rPr>
      <t>visual</t>
    </r>
    <r>
      <rPr>
        <sz val="12"/>
        <color theme="1"/>
        <rFont val="Bookman Old Style"/>
        <charset val="134"/>
      </rPr>
      <t xml:space="preserve"> yang diputar pada satuan kerja secara rutin.
</t>
    </r>
  </si>
  <si>
    <t>a. Telah dilakukan public campaign tentang pengendalian gratifikasi.</t>
  </si>
  <si>
    <t>Pengendalian gratifikasi telah diimplementasikan.</t>
  </si>
  <si>
    <t xml:space="preserve">a. Jika Unit Pengendalian Gratifikasi, 
    pengendalian gratifikasi telah menjadi bagian 
    dari prosedur.
b. Jika Unit Pengendalian Gratifikasi, upaya 
    pengendalian gratifikasi telah mulai 
    dilakukan.
c. Jika telah membentuk Unit Pengendalian 
    Gratifikasi tetapi belum terdapat prosedur 
    pengendalian.
d. Jika belum memiliki Unit Pengendalian 
    Gratifikasi. </t>
  </si>
  <si>
    <t>1. SK Tim UPG mengacu pada format Pedoman Menteri Imigrasi   
    dan Pemasyarakatan Nomor MIP-PW.02.04-1 Tahun 2025
    Tentang Pengendalian Gratifikasi di Lingkungan Kementerian
    Imigrasi dan Pemasyarakatan.
2. Laporan berkala tentang Pengendalian Gratifikasi mengacu    
    pada Pedoman Menteri Imigrasi dan Pemasyarakatan Nomor
    MIP-PW.02.04-1 Tahun 2025 Tentang Pengendalian 
    Gratifikasi di Lingkungan Kementerian Imigrasi dan
    Pemasyarakatan</t>
  </si>
  <si>
    <t>b. Pengendalian gratifikasi telah diimplementasikan.</t>
  </si>
  <si>
    <t>Penerapan Sistem Pengendalian Intern Pemerintah (SPIP)</t>
  </si>
  <si>
    <t>Telah dibangun lingkungan pengendalian.</t>
  </si>
  <si>
    <t>a. Jika unit kerja membangun seluruh 
    lingkungan pengendalian sesuai dengan yang 
    ditetapkan organisasi dan juga membuat 
    inovasi terkait lingkungan pengendalian yang 
    sesuai dengan karakteristik unit kerja.
b. Jika unit kerja membangun seluruh 
    lingkungan pengendalian sesuai dengan yang 
    ditetapkan organisasi.
c. Jika unit kerja membangun sebagian besar 
    lingkungan pengendalian sesuai dengan yang 
    ditetapkan organisasi.
d. Jika unit kerja membangun sebagian kecil 
    lingkungan pengendalian sesuai dengan yang 
    ditetapkan organisasi.
e. Jika unit kerja belum membangun 
    lingkungan pengendalian.</t>
  </si>
  <si>
    <t xml:space="preserve">1. SK Tim SPIP.
2. Dokumen kegiatan sosialisasi SPIP:
    a. Undangan;
    b. Daftar hadir;
    c. Notula dan dokumentasi kegiatan;
    d. Laporan kegiatan sosialisasi SPIP.
3. Dokumen laporan penerapan Inovasi Lingkungan 
    Pengendalian (sesuai dengan inovasi yang dilakukan dalam 
    pengendalian risiko).
4. Dokumen Manajemen Risiko. 
Keterangan:
penyusunan Dokumen Manajemen Risiko merujuk pada Pedoman Menteri IMIPAS No. MIP-OT.02.02-47 Tahun 2025 tentang Penerapan Manajemen Risiko di Lingkungan KemenIMIPAS
</t>
  </si>
  <si>
    <t>a. Telah dibangun lingkungan pengendalian.</t>
  </si>
  <si>
    <t>Telah dilakukan penilaian risiko atas pelaksanaan kebijakan.</t>
  </si>
  <si>
    <t xml:space="preserve">a. Jika unit kerja melakukan penilaian risiko 
    atas seluruh pelaksanaan kebijakan sesuai 
    dengan yang ditetapkan organisasi dan juga 
    membuat inovasi terkait lingkungan 
    pengendalian yang sesuai dengan 
    karakteristik unit kerja.
b. Jika unit kerja melakukan penilaian risiko 
    atas seluruh pelaksanaan kebijakan sesuai 
    dengan yang ditetapkan organisasi. 
c. Jika melakukan penilaian risiko atas 
    sebagian besar pelaksanaan kebijakan 
    sesuai dengan yang ditetapkan organisasi. 
d. Jika melakukan penilaian risiko atas 
    sebagian kecil pelaksanaan kebijakan sesuai 
    dengan yang ditetapkan organisasi. 
e. Jika unit kerja belum melakukan penilaian 
    risiko. </t>
  </si>
  <si>
    <t xml:space="preserve">1. Dokumen Manajemen Risiko;
2. Piagam Manajemen Risiko;
Keterangan:
penyusunan merujuk pada Pedoman Menteri IMIPAS No. MIP-OT.02.02-47 Tahun 2025 tentang Penerapan Manajemen Risiko di Lingkungan KemenIMIPAS
</t>
  </si>
  <si>
    <t>b. Telah dilakukan penilaian risiko atas pelaksanaan kebijakan.</t>
  </si>
  <si>
    <t>Telah dilakukan kegiatan pengendalian untuk meminimalisir risiko yang telah diidentifikasi.</t>
  </si>
  <si>
    <t>a. Jika unit kerja melakukan kegiatan 
    pengendalian untuk meminimalisir resiko 
    sesuai dengan yang ditetapkan organisasi 
    dan juga membuat inovasi terkait kegiatan 
    pengendalian untuk meminimalisir resiko 
    yang sesuai dengan karakteristik unit kerja.
b. Jika unit kerja melakukan kegiatan 
    pengendalian untuk meminimalisir resiko 
    sesuai dengan yang ditetapkan organisasi.
c. Jika unit kerja belum melakukan kegiatan 
    pengendalian untuk meminimalisir risiko.</t>
  </si>
  <si>
    <t xml:space="preserve">1. Dokumen laporan penerapan Inovasi Lingkungan  
    Pengendalian (sesuai dengan inovasi yang dilakukan 
    dalam pengendalian risiko). 
2. Dokumen Manajemen Risiko.
Keterangan:
penyusunan Dokumen Manajemen Risiko merujuk pada Pedoman Menteri IMIPAS No. MIP-OT.02.02-47 Tahun 2025 tentang Penerapan Manajemen Risiko di Lingkungan KemenIMIPAS
</t>
  </si>
  <si>
    <t>c. Telah dilakukan kegiatan pengendalian untuk meminimalisir risiko yang telah diidentifikasi.</t>
  </si>
  <si>
    <t>SPI telah diinformasikan dan dikomunikasikan kepada seluruh pihak terkait.</t>
  </si>
  <si>
    <t xml:space="preserve">a. Jika SPI telah diinformasikan dan 
    dikomunikasikan kepada seluruh pihak 
    terkait
b. Jika SPI telah diinformasikan dan 
    dikomunikasikan kepada sebagian pihak 
    terkait
c. Jika SPI belum diinformasikan dan 
    dikomunikasikan kepada pihak terkait
</t>
  </si>
  <si>
    <t>1. Dokumen Laporan SPIP yang diterbitkan oleh satuan kerja 
    dan ditujukan kepada Inspektorat Jenderal dan Sekretaris 
    Jenderal
2. Surat pengantar penyampaian laporan SPIP:
    a. Untuk UPT ditujukan kepada Kanwil dengan tembusan 
        kepada Itjen dan Setjen;
    b. Untuk Kanwil ditujukan kepada Itjen dan Setjen.
3. Dokumen MR, Piagam MR</t>
  </si>
  <si>
    <t>d. SPI telah diinformasikan dan dikomunikasikan kepada seluruh pihak terkait.</t>
  </si>
  <si>
    <t>Pengaduan Masyarakat</t>
  </si>
  <si>
    <t xml:space="preserve">Kebijakan Pengaduan masyarakat telah diimplementasikan. </t>
  </si>
  <si>
    <t xml:space="preserve">a. Jika unit kerja mengimplementasikan 
    seluruh kebijakan pengaduan masyarakat 
    sesuai dengan yang ditetapkan organisasi 
    dan juga membuat inovasi terkait 
    pengaduan masyarakat yang sesuai dengan 
    karakteristik unit kerja.
b. Jika unit kerja telah mengimplementasikan 
    seluruh kebijakan pengaduan masyarakat 
    sesuai dengan yang ditetapkan organisasi. 
c. Jika unit kerja belum mengimplementasikan 
    kebijakan pengaduan masyarakat. </t>
  </si>
  <si>
    <r>
      <rPr>
        <sz val="12"/>
        <color theme="1"/>
        <rFont val="Bookman Old Style"/>
        <charset val="134"/>
      </rPr>
      <t xml:space="preserve">1. SK Petugas Penanganan Pengaduan.
2. Foto petugas/ruang/loket/kotak khusus pengaduan.
3. </t>
    </r>
    <r>
      <rPr>
        <i/>
        <sz val="12"/>
        <color theme="1"/>
        <rFont val="Bookman Old Style"/>
        <charset val="134"/>
      </rPr>
      <t>Capture</t>
    </r>
    <r>
      <rPr>
        <sz val="12"/>
        <color theme="1"/>
        <rFont val="Bookman Old Style"/>
        <charset val="134"/>
      </rPr>
      <t xml:space="preserve"> aplikasi (aplikasi LAPOR, facebook, twitter, instagram, 
    WA, Line).
Keterangan:
Dokumen laporan Penanganan Pengaduan yang 
ditandatangani oleh Kepala Satuan Kerja yang berisi informasi 
pengaduan yang diterima oleh satuan kerja, pengaduan yang 
sudah ditindaklanjuti satuan kerja, dan pengaduan yang 
belum ditindaklanjuti satuan kerja. 
</t>
    </r>
  </si>
  <si>
    <t xml:space="preserve">a. Kebijakan Pengaduan masyarakat telah diimplementasikan. </t>
  </si>
  <si>
    <t xml:space="preserve">pengaduan masyarakat dtindaklanjuti. </t>
  </si>
  <si>
    <t xml:space="preserve">ya,pengaduan masyaakat ditindaklanjuti. </t>
  </si>
  <si>
    <t xml:space="preserve">Laporan Penanganan Pengaduan yang ditandatangani oleh Kepala Satuan Kerja yang berisi informasi pengaduan yang diterima oleh satuan kerja, pengaduan yang sudah ditindaklanjuti satuan kerja, dan pengaduan yang belum ditindaklanjuti satuan kerja. </t>
  </si>
  <si>
    <t xml:space="preserve">b. pengaduan masyarakat dtindaklanjuti. </t>
  </si>
  <si>
    <t xml:space="preserve">Telah dilakukan monitoring dan evaluasi atas penanganan pengaduan masyarakat. </t>
  </si>
  <si>
    <t xml:space="preserve">a. Jika penanganan pengaduan masyarakat 
    dimonitoring dan evaluasi secara berkala.
b. Jika penanganan pengaduan masyarakat 
    dimonitoring dan evaluasi tetapi tidak 
    secara berkala.
c. Jika penanganan pengaduan masyarakat 
    belum di monitoring dan evaluasi. </t>
  </si>
  <si>
    <t xml:space="preserve">1.  Laporan monitoring dan evaluasi penanganan pengaduan 
     masyarakat setiap triwulan. 
2. Nota dinas penyampaian laporan monitoring dan evaluasi 
    penanganan pengaduan masyarakat kepada bagian terkait 
    untuk ditindaklanjuti. 
</t>
  </si>
  <si>
    <t xml:space="preserve">c. Telah dilakukan monitoring dan evaluasi atas penanganan pengaduan masyarakat. </t>
  </si>
  <si>
    <t xml:space="preserve">Hasil evaluasi atas penanganan pengaduan masyarakat telah ditindaklanjuti. </t>
  </si>
  <si>
    <t xml:space="preserve">a. Jika seluruh hasil evaluasi atas penanganan 
    pengaduan telah ditindaklanjuti oleh unit 
    kerja. 
b. Jika sebagian hasil evaluasi atas 
    penanganan pengaduan telah ditindaklanjuti 
    oleh unit kerja.
c. Jika hasil evaluasi atas penanganan 
    pengaduan belum ditindaklanjuti. </t>
  </si>
  <si>
    <t>Dokumen laporan tindak lanjut atas hasil monitoring dan evaluasi penanganan pengaduan masyarakat setiap triwulan.</t>
  </si>
  <si>
    <t xml:space="preserve">d. Hasil evaluasi atas penanganan pengaduan masyarakat telah ditindaklanjuti. </t>
  </si>
  <si>
    <t>Whistle-Blowing System</t>
  </si>
  <si>
    <r>
      <rPr>
        <i/>
        <sz val="12"/>
        <color theme="1"/>
        <rFont val="Bookman Old Style"/>
        <charset val="134"/>
      </rPr>
      <t xml:space="preserve">Whistle Blowing System </t>
    </r>
    <r>
      <rPr>
        <sz val="12"/>
        <color theme="1"/>
        <rFont val="Bookman Old Style"/>
        <charset val="134"/>
      </rPr>
      <t>telah diterapkan.</t>
    </r>
  </si>
  <si>
    <r>
      <rPr>
        <sz val="12"/>
        <color theme="1"/>
        <rFont val="Bookman Old Style"/>
        <charset val="134"/>
      </rPr>
      <t xml:space="preserve">a. Jika unit kerja menerapkan seluruh 
    kebijakan </t>
    </r>
    <r>
      <rPr>
        <i/>
        <sz val="12"/>
        <color theme="1"/>
        <rFont val="Bookman Old Style"/>
        <charset val="134"/>
      </rPr>
      <t>Whistle Blowing System</t>
    </r>
    <r>
      <rPr>
        <sz val="12"/>
        <color theme="1"/>
        <rFont val="Bookman Old Style"/>
        <charset val="134"/>
      </rPr>
      <t xml:space="preserve"> sesuai 
    dengan yang ditetapkan organisasi dan juga 
    membuat inovasi terkait pelaksanaan </t>
    </r>
    <r>
      <rPr>
        <i/>
        <sz val="12"/>
        <color theme="1"/>
        <rFont val="Bookman Old Style"/>
        <charset val="134"/>
      </rPr>
      <t>Whistle 
    Blowing System</t>
    </r>
    <r>
      <rPr>
        <sz val="12"/>
        <color theme="1"/>
        <rFont val="Bookman Old Style"/>
        <charset val="134"/>
      </rPr>
      <t xml:space="preserve"> yang sesuai dengan 
    karakteristik unit kerja.
b. Jika unit kerja menerapkan kebijakan 
</t>
    </r>
    <r>
      <rPr>
        <i/>
        <sz val="12"/>
        <color theme="1"/>
        <rFont val="Bookman Old Style"/>
        <charset val="134"/>
      </rPr>
      <t xml:space="preserve">    Whistle Blowing System</t>
    </r>
    <r>
      <rPr>
        <sz val="12"/>
        <color theme="1"/>
        <rFont val="Bookman Old Style"/>
        <charset val="134"/>
      </rPr>
      <t xml:space="preserve"> sesuai dengan yang 
    ditetapkan organisasi. 
c. Jika unit kerja belum menerapkan kebijakan 
    W</t>
    </r>
    <r>
      <rPr>
        <i/>
        <sz val="12"/>
        <color theme="1"/>
        <rFont val="Bookman Old Style"/>
        <charset val="134"/>
      </rPr>
      <t>histle Blowing System.</t>
    </r>
  </si>
  <si>
    <r>
      <rPr>
        <sz val="12"/>
        <color theme="1"/>
        <rFont val="Bookman Old Style"/>
        <charset val="134"/>
      </rPr>
      <t xml:space="preserve">1. Surat Kepala Satuan Kerja perihal </t>
    </r>
    <r>
      <rPr>
        <i/>
        <sz val="12"/>
        <color theme="1"/>
        <rFont val="Bookman Old Style"/>
        <charset val="134"/>
      </rPr>
      <t>Admin Whistleblowing 
    System</t>
    </r>
    <r>
      <rPr>
        <sz val="12"/>
        <color theme="1"/>
        <rFont val="Bookman Old Style"/>
        <charset val="134"/>
      </rPr>
      <t xml:space="preserve"> pada wbs.kemenimipas.go.id. 
2. Screenshot wbs.kemenimipas.go.id yang memuat nama  
    satuan kerj</t>
    </r>
    <r>
      <rPr>
        <i/>
        <sz val="12"/>
        <color theme="1"/>
        <rFont val="Bookman Old Style"/>
        <charset val="134"/>
      </rPr>
      <t xml:space="preserve">a.
</t>
    </r>
  </si>
  <si>
    <t>a. Whistle Blowing System telah diterapkan.</t>
  </si>
  <si>
    <r>
      <rPr>
        <sz val="12"/>
        <color theme="1"/>
        <rFont val="Bookman Old Style"/>
        <charset val="134"/>
      </rPr>
      <t xml:space="preserve">Telah dilakukan evaluasi atas penerapan </t>
    </r>
    <r>
      <rPr>
        <i/>
        <sz val="12"/>
        <color theme="1"/>
        <rFont val="Bookman Old Style"/>
        <charset val="134"/>
      </rPr>
      <t>Whistle Blowing System</t>
    </r>
    <r>
      <rPr>
        <sz val="12"/>
        <color theme="1"/>
        <rFont val="Bookman Old Style"/>
        <charset val="134"/>
      </rPr>
      <t>.</t>
    </r>
  </si>
  <si>
    <r>
      <rPr>
        <sz val="12"/>
        <color theme="1"/>
        <rFont val="Bookman Old Style"/>
        <charset val="134"/>
      </rPr>
      <t xml:space="preserve">a. Jika penerapan </t>
    </r>
    <r>
      <rPr>
        <i/>
        <sz val="12"/>
        <color theme="1"/>
        <rFont val="Bookman Old Style"/>
        <charset val="134"/>
      </rPr>
      <t>Whistle Blowing System</t>
    </r>
    <r>
      <rPr>
        <sz val="12"/>
        <color theme="1"/>
        <rFont val="Bookman Old Style"/>
        <charset val="134"/>
      </rPr>
      <t xml:space="preserve"> 
    dimonitoring dan evaluasi secara berkala.
b. Jika penerapan </t>
    </r>
    <r>
      <rPr>
        <i/>
        <sz val="12"/>
        <color theme="1"/>
        <rFont val="Bookman Old Style"/>
        <charset val="134"/>
      </rPr>
      <t>Whistle Blowing System</t>
    </r>
    <r>
      <rPr>
        <sz val="12"/>
        <color theme="1"/>
        <rFont val="Bookman Old Style"/>
        <charset val="134"/>
      </rPr>
      <t xml:space="preserve"> 
    dimonitoring dan evaluasi tidak secara 
    berkala.
c. Jika penerapan </t>
    </r>
    <r>
      <rPr>
        <i/>
        <sz val="12"/>
        <color theme="1"/>
        <rFont val="Bookman Old Style"/>
        <charset val="134"/>
      </rPr>
      <t>Whistle Blowing System</t>
    </r>
    <r>
      <rPr>
        <sz val="12"/>
        <color theme="1"/>
        <rFont val="Bookman Old Style"/>
        <charset val="134"/>
      </rPr>
      <t xml:space="preserve"> 
    belum di monitoring dan evaluasi. </t>
    </r>
  </si>
  <si>
    <r>
      <rPr>
        <sz val="12"/>
        <color theme="1"/>
        <rFont val="Bookman Old Style"/>
        <charset val="134"/>
      </rPr>
      <t xml:space="preserve">Laporan hasil evaluasi atas penerapan </t>
    </r>
    <r>
      <rPr>
        <i/>
        <sz val="12"/>
        <color theme="1"/>
        <rFont val="Bookman Old Style"/>
        <charset val="134"/>
      </rPr>
      <t>Whistle Blowing System</t>
    </r>
    <r>
      <rPr>
        <sz val="12"/>
        <color theme="1"/>
        <rFont val="Bookman Old Style"/>
        <charset val="134"/>
      </rPr>
      <t xml:space="preserve"> (Dokumen disajikan oleh Inspektorat Jenderal).
</t>
    </r>
  </si>
  <si>
    <t>b. Telah dilakukan evaluasi atas penerapan Whistle Blowing System.</t>
  </si>
  <si>
    <r>
      <rPr>
        <sz val="12"/>
        <color theme="1"/>
        <rFont val="Bookman Old Style"/>
        <charset val="134"/>
      </rPr>
      <t xml:space="preserve">Hasil evaluasi atas penerapan </t>
    </r>
    <r>
      <rPr>
        <i/>
        <sz val="12"/>
        <color theme="1"/>
        <rFont val="Bookman Old Style"/>
        <charset val="134"/>
      </rPr>
      <t xml:space="preserve">Whistle Blowing System </t>
    </r>
    <r>
      <rPr>
        <sz val="12"/>
        <color theme="1"/>
        <rFont val="Bookman Old Style"/>
        <charset val="134"/>
      </rPr>
      <t>telah ditindaklanjuti.</t>
    </r>
  </si>
  <si>
    <r>
      <rPr>
        <sz val="12"/>
        <color theme="1"/>
        <rFont val="Bookman Old Style"/>
        <charset val="134"/>
      </rPr>
      <t xml:space="preserve">a. Jika seluruh hasil evaluasi atas penerapan 
    </t>
    </r>
    <r>
      <rPr>
        <i/>
        <sz val="12"/>
        <color theme="1"/>
        <rFont val="Bookman Old Style"/>
        <charset val="134"/>
      </rPr>
      <t>Whistle Blowing System</t>
    </r>
    <r>
      <rPr>
        <sz val="12"/>
        <color theme="1"/>
        <rFont val="Bookman Old Style"/>
        <charset val="134"/>
      </rPr>
      <t xml:space="preserve"> telah ditindaklanjuti 
     oleh unit kerja.
b. Jika sebagian hasil evaluasi atas penerapan 
    </t>
    </r>
    <r>
      <rPr>
        <i/>
        <sz val="12"/>
        <color theme="1"/>
        <rFont val="Bookman Old Style"/>
        <charset val="134"/>
      </rPr>
      <t>Whistle Blowing System</t>
    </r>
    <r>
      <rPr>
        <sz val="12"/>
        <color theme="1"/>
        <rFont val="Bookman Old Style"/>
        <charset val="134"/>
      </rPr>
      <t xml:space="preserve"> telah ditindaklanjuti 
    oleh unit kerja.
c. Jika hasil evaluasi atas penerapan </t>
    </r>
    <r>
      <rPr>
        <i/>
        <sz val="12"/>
        <color theme="1"/>
        <rFont val="Bookman Old Style"/>
        <charset val="134"/>
      </rPr>
      <t>Whistle 
    Blowing System</t>
    </r>
    <r>
      <rPr>
        <sz val="12"/>
        <color theme="1"/>
        <rFont val="Bookman Old Style"/>
        <charset val="134"/>
      </rPr>
      <t xml:space="preserve"> belum ditindaklanjuti. </t>
    </r>
  </si>
  <si>
    <r>
      <rPr>
        <sz val="12"/>
        <color theme="1"/>
        <rFont val="Bookman Old Style"/>
        <charset val="134"/>
      </rPr>
      <t xml:space="preserve">Laporan tindak lanjut hasil evaluasi atas penerapan </t>
    </r>
    <r>
      <rPr>
        <i/>
        <sz val="12"/>
        <color theme="1"/>
        <rFont val="Bookman Old Style"/>
        <charset val="134"/>
      </rPr>
      <t>Whistle Blowing System</t>
    </r>
    <r>
      <rPr>
        <sz val="12"/>
        <color theme="1"/>
        <rFont val="Bookman Old Style"/>
        <charset val="134"/>
      </rPr>
      <t xml:space="preserve"> (Dokumen disajikan oleh Inspektorat Jenderal).</t>
    </r>
  </si>
  <si>
    <t>c. Hasil evaluasi atas penerapan Whistle Blowing System telah ditindaklanjuti.</t>
  </si>
  <si>
    <t xml:space="preserve">Penanganan Benturan Kepentingan </t>
  </si>
  <si>
    <t>Telah terdapat identifikasi/pemetaan benturan kepentingan dalam tugas fungsi utama.</t>
  </si>
  <si>
    <t>a. Jika terdapat  identifikasi/pemetaan 
    benturan kepentingan pada seluruh tugas 
    fungsi utama.
b. Jika terdapat  identifikasi/pemetaan 
    benturan kepentingan tetapi pada sebagian 
    besar tugas fungsi utama.
c. Jika terdapat  identifikasi/pemetaan 
    benturan kepentingan tetapi pada sebagian 
    kecil tugas fungsi utama.
d. Jika belum terdapat  identifikasi/pemetaan 
    benturan kepentingan dalam tugas fungsi 
    utama.</t>
  </si>
  <si>
    <t xml:space="preserve">1. Dokumen Manajemen Risiko yang  memuat identifikasi 
    risiko atas konflik kepentingan dalam tugas fungsi utama 
    bagi seluruh pejabat struktural dan seluruh pejabat 
    pengelola keuangan (Bendahara, PPK, Pejabat pengadaan);
2. Surat Edaran Inspektorat Jenderal Nomor: INJ-5.OT.03.02 
    Tahun 2026 tentang Pengelolaan Konflik Kepentingan di 
    Lingkungan Kementerian Imigrasi dan Pemasyarakatan;
3. Formulir Daftar Konflik Kepentingan;
4. Formulir Deklarasi Konflik Kepentingan.
</t>
  </si>
  <si>
    <t>a. Telah terdapat identifikasi/pemetaan benturan kepentingan dalam tugas fungsi utama.</t>
  </si>
  <si>
    <t>Penanganan Benturan Kepentingan telah disosialisasikan/internalisasi.</t>
  </si>
  <si>
    <t xml:space="preserve">a. Jika penanganan Benturan Kepentingan 
    disosialiasikan/diinternalisasikan ke seluruh 
    layanan.
b. Jika penanganan Benturan Kepentingan 
    disosialiasikan/diinternalisasikan ke 
    sebagian besar layanan. 
c.  Jika penanganan Benturan Kepentingan 
     disosialiasikan/diinternalisasikan ke 
     sebagian kecil layanan. 
d.  Jika penanganan Benturan Kepentingan 
     belum disosialiasikan/diinternalisasikan ke 
     seluruh layanan. </t>
  </si>
  <si>
    <t xml:space="preserve">Dokumen kegiatan internalisasi/Sosialisasi Penanganan Benturan Kepentingan melalui apel pagi/sore atau bimtek atau sosialisasi:
1. Undangan;
2. Daftar Hadir;
3. Notula dan dokumentasi;
4. Laporan Kegiatan Internalisasi / Sosialisasi penanganan 
    benturan kepentingan.
</t>
  </si>
  <si>
    <t>b. Penanganan Benturan Kepentingan telah disosialisasikan/internalisasi.</t>
  </si>
  <si>
    <t xml:space="preserve">Penanganan Benturan Kepentingan telah diimplementasikan. </t>
  </si>
  <si>
    <t xml:space="preserve">a. Jika penanganan Benturan Kepentingan 
    diimplementasikan ke seluruh layanan. 
b. Jika penanganan Benturan Kepentingan 
    diimplementasikan ke sebagian besar 
    layanan. 
c. Jika penanganan Benturan Kepentingan 
    diimplementasikan ke sebagian kecil 
    layanan. 
d. Jika penanganan Benturan Kepentingan 
    belum diimplementasikan ke seluruh 
    layanan. </t>
  </si>
  <si>
    <t>1. Dokumen daftar kepentingan pribadi. 
2. Formulir Deklarasi Konflik Kepentingan (jika ada).
3. Laporan pelaksanaan penanganan benturan kepentingan.
Keterangan: 
Update jika terdapat perubahan pejabat struktural, pejabat pengelola keuangan (Bendahara, PPK, Pejabat pengadaan), dan mutasi pegawai dari unit/satuan kerja lain.</t>
  </si>
  <si>
    <t xml:space="preserve">c. Penanganan Benturan Kepentingan telah diimplementasikan. </t>
  </si>
  <si>
    <t>Telah dilakukan evaluasi atas Penanganan Benturan Kepentingan.</t>
  </si>
  <si>
    <t>a. Jika penanganan Benturan Kepentingan 
    dievaluasi secara berkala oleh unit kerja. 
b. Jika penanganan Benturan Kepentingan 
    dievaluasi tetapi tidak secara berkala oleh 
    unit kerja.
c. Jika penanganan Benturan Kepentingan 
   belum dievaluasi oleh unit kerja.</t>
  </si>
  <si>
    <t xml:space="preserve">Dokumen Laporan hasil evaluasi atas Penanganan Benturan Kepentingan.
</t>
  </si>
  <si>
    <t>d. Telah dilakukan evaluasi atas Penanganan Benturan Kepentingan.</t>
  </si>
  <si>
    <t>Hasil evaluasi atas Penanganan Benturan Kepentingan telah ditindaklanjuti.</t>
  </si>
  <si>
    <t xml:space="preserve">a. Jika seluruh hasil evaluasi atas Penanganan 
    Benturan Kepentingan telah ditindaklanjuti 
    oleh unit kerja.
b. Jika sebagian hasil evaluasi atas Penanganan 
    Benturan Kepentingan telah ditindaklanjuti 
    oleh unit kerja. 
c. Jika belum ada hasil evaluasi atas 
    Penanganan Benturan Kepentingan yang 
    ditindaklanjuti unit kerja. </t>
  </si>
  <si>
    <t>Dokumen    laporan    evaluasi    atas    Penanganan Benturan Kepentingan telah ditindaklanjuti.</t>
  </si>
  <si>
    <t>e. Hasil evaluasi atas Penanganan Benturan Kepentingan telah ditindaklanjuti.</t>
  </si>
  <si>
    <t>Standar Pelayanan</t>
  </si>
  <si>
    <t>Terdapat kebijakan standar pelayanan.</t>
  </si>
  <si>
    <t xml:space="preserve">a. Terdapat penetapan Standar Pelayanan 
    terhadap seluruh jenis pelayanan, dan sesuai 
    asas serta komponen standar pelayanan 
    publik yang berlaku. 
b. Terdapat penetapan Standar Pelayanan 
    terhadap sebagian jenis pelayanan, dan 
    sesuai asas serta komponen standar 
    pelayanan publik yang berlaku.
c. Terdapat penetapan Standar Pelayanan 
    terhadap seluruh jenis pelayanan, namun 
    tidak sesuai asas serta komponen standar 
    pelayanan publik yang berlaku. 
d. Terdapat penetapan Standar Pelayanan 
    terhadap sebagian jenis pelayanan, namun 
    tidak sesuai asas serta komponen standar 
    pelayanan publik yang berlaku. 
e. Standar Pelayanan belum ditetapkan. </t>
  </si>
  <si>
    <r>
      <rPr>
        <b/>
        <sz val="12"/>
        <color theme="1"/>
        <rFont val="Bookman Old Style"/>
        <charset val="134"/>
      </rPr>
      <t>B03, B09:</t>
    </r>
    <r>
      <rPr>
        <sz val="12"/>
        <color theme="1"/>
        <rFont val="Bookman Old Style"/>
        <charset val="134"/>
      </rPr>
      <t xml:space="preserve">
Standar Pelayanan terhadap seluruh jenis pelayanan yang diterbitkan oleh kepala satuan kerja dalam bentuk surat keputusan beserta lampiran.
Keterangan: 
Data dukung dilakukan pembaharuan jika terdapat perubahan Standar Pelayanan hasil reviu.
</t>
    </r>
  </si>
  <si>
    <t>a. Terdapat kebijakan standar pelayanan.</t>
  </si>
  <si>
    <t xml:space="preserve">Standar pelayanan telah dimaklumatkan. </t>
  </si>
  <si>
    <r>
      <rPr>
        <sz val="12"/>
        <color theme="1"/>
        <rFont val="Bookman Old Style"/>
        <charset val="134"/>
      </rPr>
      <t xml:space="preserve">a. Standar pelayanan telah dimaklumatkan 
    pada seluruh jenis pelayanan dan 
    dipublikasikan di website dan media lainnya.
b. Standar pelayanan telah dimaklumatkan 
    pada sebagian besar jenis pelayanan dan 
    dipublikasikan minimal di </t>
    </r>
    <r>
      <rPr>
        <i/>
        <sz val="12"/>
        <color theme="1"/>
        <rFont val="Bookman Old Style"/>
        <charset val="134"/>
      </rPr>
      <t>website.</t>
    </r>
    <r>
      <rPr>
        <sz val="12"/>
        <color theme="1"/>
        <rFont val="Bookman Old Style"/>
        <charset val="134"/>
      </rPr>
      <t xml:space="preserve">
c. Standar pelayanan telah dimaklumatkan 
    pada sebagian kecil  jenis pelayanan dan 
    belum dipublikasikan.
d. Standar pelayanan belum dimaklumatkan 
    pada seluruh jenis pelayanan dan belum 
    dipublikasikan.</t>
    </r>
  </si>
  <si>
    <r>
      <rPr>
        <sz val="12"/>
        <color theme="1"/>
        <rFont val="Bookman Old Style"/>
        <charset val="134"/>
      </rPr>
      <t xml:space="preserve">Piagam Maklumat pelayanan yang ditandatangani oleh Kepala Satker yang memuat unsur sbb:
1. Menjelaskan siapa yang melakukan pelayanan;
2. Menjelaskan jenis layanan yang diselenggarakan;
3. Menjelaskan </t>
    </r>
    <r>
      <rPr>
        <i/>
        <sz val="12"/>
        <color theme="1"/>
        <rFont val="Bookman Old Style"/>
        <charset val="134"/>
      </rPr>
      <t>punishment</t>
    </r>
    <r>
      <rPr>
        <sz val="12"/>
        <color theme="1"/>
        <rFont val="Bookman Old Style"/>
        <charset val="134"/>
      </rPr>
      <t xml:space="preserve"> apabila layanan tidak dilaksanakan 
    sesuai janji pada Maklumat.
Keterangan: 
Nilai A jika sudah dipublikasikan pada </t>
    </r>
    <r>
      <rPr>
        <i/>
        <sz val="12"/>
        <color theme="1"/>
        <rFont val="Bookman Old Style"/>
        <charset val="134"/>
      </rPr>
      <t>website</t>
    </r>
    <r>
      <rPr>
        <sz val="12"/>
        <color theme="1"/>
        <rFont val="Bookman Old Style"/>
        <charset val="134"/>
      </rPr>
      <t>, media sosial, media elektronik.</t>
    </r>
  </si>
  <si>
    <t xml:space="preserve">b. Standar pelayanan telah dimaklumatkan. </t>
  </si>
  <si>
    <t>Dilakukan reviu dan perbaikan atas standar pelayanan.</t>
  </si>
  <si>
    <r>
      <rPr>
        <sz val="12"/>
        <color theme="1"/>
        <rFont val="Bookman Old Style"/>
        <charset val="134"/>
      </rPr>
      <t xml:space="preserve">a. Dilakukan reviu dan perbaikan atas standar 
    pelayanan dan dilakukan dengan melibatkan 
    </t>
    </r>
    <r>
      <rPr>
        <i/>
        <sz val="12"/>
        <color theme="1"/>
        <rFont val="Bookman Old Style"/>
        <charset val="134"/>
      </rPr>
      <t>stakeholders</t>
    </r>
    <r>
      <rPr>
        <sz val="12"/>
        <color theme="1"/>
        <rFont val="Bookman Old Style"/>
        <charset val="134"/>
      </rPr>
      <t xml:space="preserve"> (antara lain : tokoh masyarakat,  
    akademisi, dunia usaha, dan lembaga 
    swadaya masyarakat), serta memanfaatkan 
    masukan hasil SKM dan pengaduan 
    masyarakat. 
b. Dilakukan reviu dan perbaikan atas standar 
    pelayanan dan dilakukan dengan 
    memanfaatkan masukan hasil SKM dan 
    pengaduan masyarakat, namun tanpa 
    melibatkan </t>
    </r>
    <r>
      <rPr>
        <i/>
        <sz val="12"/>
        <color theme="1"/>
        <rFont val="Bookman Old Style"/>
        <charset val="134"/>
      </rPr>
      <t xml:space="preserve">stakeholders. </t>
    </r>
    <r>
      <rPr>
        <sz val="12"/>
        <color theme="1"/>
        <rFont val="Bookman Old Style"/>
        <charset val="134"/>
      </rPr>
      <t xml:space="preserve">
c. Dilakukan reviu dan perbaikan atas standar 
    pelayanan, namun  dilakukan tanpa 
    memanfaatkan masukan hasil SKM dan 
    pengaduan masyarakat, serta tanpa 
    melibatkan </t>
    </r>
    <r>
      <rPr>
        <i/>
        <sz val="12"/>
        <color theme="1"/>
        <rFont val="Bookman Old Style"/>
        <charset val="134"/>
      </rPr>
      <t xml:space="preserve">stakeholders. </t>
    </r>
    <r>
      <rPr>
        <sz val="12"/>
        <color theme="1"/>
        <rFont val="Bookman Old Style"/>
        <charset val="134"/>
      </rPr>
      <t xml:space="preserve">
d. Belum dilakukan reviu dan perbaikan atas 
    standar pelayanan.</t>
    </r>
  </si>
  <si>
    <r>
      <rPr>
        <sz val="12"/>
        <color theme="1"/>
        <rFont val="Bookman Old Style"/>
        <charset val="134"/>
      </rPr>
      <t xml:space="preserve">1. Dokumen laporan hasil reviu atas standar pelayanan yang 
    melibatkan </t>
    </r>
    <r>
      <rPr>
        <i/>
        <sz val="12"/>
        <color theme="1"/>
        <rFont val="Bookman Old Style"/>
        <charset val="134"/>
      </rPr>
      <t xml:space="preserve">stakeholders </t>
    </r>
    <r>
      <rPr>
        <sz val="12"/>
        <color theme="1"/>
        <rFont val="Bookman Old Style"/>
        <charset val="134"/>
      </rPr>
      <t xml:space="preserve">serta memasukan hasil SKM dan 
    pengaduan masyarakat.
2. Dokumen rapat penyusunan hasil reviu (daftar 
    hadir (mengundang </t>
    </r>
    <r>
      <rPr>
        <i/>
        <sz val="12"/>
        <color theme="1"/>
        <rFont val="Bookman Old Style"/>
        <charset val="134"/>
      </rPr>
      <t>stakeholders</t>
    </r>
    <r>
      <rPr>
        <sz val="12"/>
        <color theme="1"/>
        <rFont val="Bookman Old Style"/>
        <charset val="134"/>
      </rPr>
      <t xml:space="preserve">), undangan, notula, 
    dokumentasi gambar).
3. Standar pelayanan jika terdapat perubahan hasil reviu.
Keterangan: 
Jika tidak melibatkan </t>
    </r>
    <r>
      <rPr>
        <i/>
        <sz val="12"/>
        <color theme="1"/>
        <rFont val="Bookman Old Style"/>
        <charset val="134"/>
      </rPr>
      <t>stakeholders</t>
    </r>
    <r>
      <rPr>
        <sz val="12"/>
        <color theme="1"/>
        <rFont val="Bookman Old Style"/>
        <charset val="134"/>
      </rPr>
      <t xml:space="preserve"> dalam pelaksanaan reviu maka tidak diberikan nilai maksimal.
</t>
    </r>
  </si>
  <si>
    <t>c. Dilakukan reviu dan perbaikan atas standar pelayanan.</t>
  </si>
  <si>
    <t>Telah melakukan publikasi atas standar pelayanan dan maklumat pelayanan.</t>
  </si>
  <si>
    <t>ya,telah melakukan publikasi atas tandar pelayanan dan maklumat pelayanan.</t>
  </si>
  <si>
    <r>
      <rPr>
        <i/>
        <sz val="12"/>
        <color theme="1"/>
        <rFont val="Bookman Old Style"/>
        <charset val="134"/>
      </rPr>
      <t>Screenshot</t>
    </r>
    <r>
      <rPr>
        <sz val="12"/>
        <color theme="1"/>
        <rFont val="Bookman Old Style"/>
        <charset val="134"/>
      </rPr>
      <t xml:space="preserve"> publikasi standar pelayanan dan maklumat pelayanan pada ruang layanan publik dan media sosial, </t>
    </r>
    <r>
      <rPr>
        <i/>
        <sz val="12"/>
        <color theme="1"/>
        <rFont val="Bookman Old Style"/>
        <charset val="134"/>
      </rPr>
      <t>website</t>
    </r>
    <r>
      <rPr>
        <sz val="12"/>
        <color theme="1"/>
        <rFont val="Bookman Old Style"/>
        <charset val="134"/>
      </rPr>
      <t xml:space="preserve"> serta media elektronik. </t>
    </r>
  </si>
  <si>
    <t>d. Telah melakukan publikasi atas standar pelayanan dan maklumat pelayanan.</t>
  </si>
  <si>
    <t>Budaya Pelayanan Prima</t>
  </si>
  <si>
    <t xml:space="preserve">Telah dilakukan berbagai upaya peningkatan kemampuan dan/atau kompetensi tentang penerapan budaya pelayanan prima. </t>
  </si>
  <si>
    <t>a. Telah dilakukan pelatihan/sosialisasi 
    pelayanan prima secara berkelanjutan dan 
    terjadwal, sehingga seluruh petugas/ 
    pelaksana layanan memiliki kompetensi 
    sesuai kebutuhan jenis layanan serta telah 
    dan terdapat monev yang melihat 
    kemampuan/kecakapan petugas/pelaksana 
    layanan.
b. Telah dilakukan pelatihan/sosialisasi 
    pelayanan prima, dan  seluruh petugas/ 
    pelaksana layanan memiliki kompetensi 
    sesuai kebutuhan jenis layanan.
c. Telah dilakukan pelatihan/sosialisasi 
    pelayanan prima, akan tetapi baru sebagian 
    besar petugas/pelaksana layanan memiliki 
    kompetensi sesuai kebutuhan jenis layanan.
d. Telah dilakukan pelatihan/sosialisasi 
    pelayanan prima namun secara terbatas, 
    sehingga hanya sebagian kecil petugas/ 
    pelaksana layanan yang memiliki kompetensi 
    sesuai kebutuhan jenis layanan 
e. Belum dilakukan pelatihan/sosialisasi 
    pelayanan prima, dan seluruh petugas/ 
    pelaksana layanan belum memiliki 
    kompetensi sesuai kebutuhan jenis layanan.</t>
  </si>
  <si>
    <r>
      <rPr>
        <sz val="12"/>
        <color theme="1"/>
        <rFont val="Bookman Old Style"/>
        <charset val="134"/>
      </rPr>
      <t xml:space="preserve">1. Dokumen sosialisasi/pelatihan budaya pelayanan prima 
    (Kegiatan dapat dilakukan oleh internal satuan kerja. Contoh: 
    sosialisasi, bimtek, </t>
    </r>
    <r>
      <rPr>
        <i/>
        <sz val="12"/>
        <color theme="1"/>
        <rFont val="Bookman Old Style"/>
        <charset val="134"/>
      </rPr>
      <t>workshop</t>
    </r>
    <r>
      <rPr>
        <sz val="12"/>
        <color theme="1"/>
        <rFont val="Bookman Old Style"/>
        <charset val="134"/>
      </rPr>
      <t xml:space="preserve">, seminar dan/atau pelatihan 
    lainnya yang bertujuan untuk meningkatkan pelayanan 
    publik satuan kerja yang dilakukan oleh narasumber 
    eksternal seperti Kanwil, Unit Eselon I, Unit Pengawasan  
    (Inspektorat Jenderal), Menpan atau Pihak Ketiga lainnya  
    yang memiliki kompetensi untuk pelatihan pelayanan publik):
    a. Undangan;
    b. Daftar hadir;
    c. Notula dan dokumentasi foto;
    d. Laporan Kegiatan Peningkatan Budaya Pelayanan Prima.
2. Laporan monev yang melihat kemampuan/kecakapan 
    petugas/pelaksana layanan setelah pelaksanaan sosialisasi.
Keterangan:
Tidak boleh menggunakan dokumen kegiatan berupa foto apel pagi atau pengarahan pimpinan. 
</t>
    </r>
  </si>
  <si>
    <t xml:space="preserve">a. Telah dilakukan berbagai upaya peningkatan kemampuan dan/atau kompetensi tentang penerapan budaya pelayanan prima. </t>
  </si>
  <si>
    <t>Informasi tentang pelayanan mudah diakses melalui berbagai media.</t>
  </si>
  <si>
    <r>
      <rPr>
        <sz val="12"/>
        <color theme="1"/>
        <rFont val="Bookman Old Style"/>
        <charset val="134"/>
      </rPr>
      <t xml:space="preserve">a. Seluruh Informasi tentang pelayanan dapat 
    diakses secara </t>
    </r>
    <r>
      <rPr>
        <i/>
        <sz val="12"/>
        <color theme="1"/>
        <rFont val="Bookman Old Style"/>
        <charset val="134"/>
      </rPr>
      <t>online</t>
    </r>
    <r>
      <rPr>
        <sz val="12"/>
        <color theme="1"/>
        <rFont val="Bookman Old Style"/>
        <charset val="134"/>
      </rPr>
      <t xml:space="preserve"> (</t>
    </r>
    <r>
      <rPr>
        <i/>
        <sz val="12"/>
        <color theme="1"/>
        <rFont val="Bookman Old Style"/>
        <charset val="134"/>
      </rPr>
      <t>website</t>
    </r>
    <r>
      <rPr>
        <sz val="12"/>
        <color theme="1"/>
        <rFont val="Bookman Old Style"/>
        <charset val="134"/>
      </rPr>
      <t xml:space="preserve">/media sosial) 
    dan terhubung dengan sistem informasi 
    pelayanan publik nasional.
b. Seluruh Informasi tentang pelayanan dapat 
    diakses secara </t>
    </r>
    <r>
      <rPr>
        <i/>
        <sz val="12"/>
        <color theme="1"/>
        <rFont val="Bookman Old Style"/>
        <charset val="134"/>
      </rPr>
      <t>online</t>
    </r>
    <r>
      <rPr>
        <sz val="12"/>
        <color theme="1"/>
        <rFont val="Bookman Old Style"/>
        <charset val="134"/>
      </rPr>
      <t xml:space="preserve"> (</t>
    </r>
    <r>
      <rPr>
        <i/>
        <sz val="12"/>
        <color theme="1"/>
        <rFont val="Bookman Old Style"/>
        <charset val="134"/>
      </rPr>
      <t>website</t>
    </r>
    <r>
      <rPr>
        <sz val="12"/>
        <color theme="1"/>
        <rFont val="Bookman Old Style"/>
        <charset val="134"/>
      </rPr>
      <t xml:space="preserve">/media sosial), 
    namun belum terhubung dengan sistem 
    informasi pelayanan publik nasional.
c. Seluruh Informasi tentang pelayanan belum 
    </t>
    </r>
    <r>
      <rPr>
        <i/>
        <sz val="12"/>
        <color theme="1"/>
        <rFont val="Bookman Old Style"/>
        <charset val="134"/>
      </rPr>
      <t>online</t>
    </r>
    <r>
      <rPr>
        <sz val="12"/>
        <color theme="1"/>
        <rFont val="Bookman Old Style"/>
        <charset val="134"/>
      </rPr>
      <t>, hanya dapat diakses di tempat 
    layanan (intranet dan non elektronik).
d. Informasi tentang pelayanan sulit diakses.</t>
    </r>
  </si>
  <si>
    <r>
      <rPr>
        <sz val="12"/>
        <color theme="1"/>
        <rFont val="Bookman Old Style"/>
        <charset val="134"/>
      </rPr>
      <t xml:space="preserve">1. Dokumen </t>
    </r>
    <r>
      <rPr>
        <i/>
        <sz val="12"/>
        <color theme="1"/>
        <rFont val="Bookman Old Style"/>
        <charset val="134"/>
      </rPr>
      <t>capture</t>
    </r>
    <r>
      <rPr>
        <sz val="12"/>
        <color theme="1"/>
        <rFont val="Bookman Old Style"/>
        <charset val="134"/>
      </rPr>
      <t xml:space="preserve">, papan pengumuman, </t>
    </r>
    <r>
      <rPr>
        <i/>
        <sz val="12"/>
        <color theme="1"/>
        <rFont val="Bookman Old Style"/>
        <charset val="134"/>
      </rPr>
      <t>website</t>
    </r>
    <r>
      <rPr>
        <sz val="12"/>
        <color theme="1"/>
        <rFont val="Bookman Old Style"/>
        <charset val="134"/>
      </rPr>
      <t xml:space="preserve">, media sosial, 
    media cetak, media televisi, radio, dan lain sebagainya.
2. </t>
    </r>
    <r>
      <rPr>
        <i/>
        <sz val="12"/>
        <color theme="1"/>
        <rFont val="Bookman Old Style"/>
        <charset val="134"/>
      </rPr>
      <t>Capture</t>
    </r>
    <r>
      <rPr>
        <sz val="12"/>
        <color theme="1"/>
        <rFont val="Bookman Old Style"/>
        <charset val="134"/>
      </rPr>
      <t xml:space="preserve"> layanan pada aplikasi SIPP.</t>
    </r>
  </si>
  <si>
    <t>b. Informasi tentang pelayanan mudah diakses melalui berbagai media.</t>
  </si>
  <si>
    <t>Telah terdapat sistem pemberian penghargaan dan sanksi bagi petugas pemberi pelayanan.</t>
  </si>
  <si>
    <t>a. Telah terdapat kebijakan pemberian 
    penghargaan dan sanksi yang minimal 
    memenuhi unsur penilaian: disiplin, kinerja, 
    dan hasil penilaian pengguna layanan, dan 
    telah diterapkan secara rutin/berkelanjutan.
b. Telah terdapat kebijakan pemberian 
    penghargaan dan sanksi yang minimal 
    memenuhi unsur penilaian: disiplin, kinerja, 
    dan hasil penilaian pengguna layanan, 
    namun belum diterapkan secara rutin/ 
    berkelanjutan.
c. Telah terdapat kebijakan pemberian 
    penghargaan dan sanksi, namun belum 
    memenuhi unsur penilaian minimal : disiplin, 
    kinerja, dan hasil penilaian pengguna 
    layanan.
d. Belum terdapat kebijakan pemberian 
    penghargaan dan sanksi.</t>
  </si>
  <si>
    <r>
      <rPr>
        <sz val="12"/>
        <color theme="1"/>
        <rFont val="Bookman Old Style"/>
        <charset val="134"/>
      </rPr>
      <t xml:space="preserve">1. Dokumen pemberian </t>
    </r>
    <r>
      <rPr>
        <i/>
        <sz val="12"/>
        <color theme="1"/>
        <rFont val="Bookman Old Style"/>
        <charset val="134"/>
      </rPr>
      <t>punishment</t>
    </r>
    <r>
      <rPr>
        <sz val="12"/>
        <color theme="1"/>
        <rFont val="Bookman Old Style"/>
        <charset val="134"/>
      </rPr>
      <t xml:space="preserve"> / sanksi kepada pegawai 
    (pegawai pemberi layanan) yang melanggar standar pelayanan:
    a. Undangan;
    b. Daftar hadir; 
    c. Notula dan dokumentasi kegiatan;
    d. Laporan hasil pemberian </t>
    </r>
    <r>
      <rPr>
        <i/>
        <sz val="12"/>
        <color theme="1"/>
        <rFont val="Bookman Old Style"/>
        <charset val="134"/>
      </rPr>
      <t>punishment</t>
    </r>
    <r>
      <rPr>
        <sz val="12"/>
        <color theme="1"/>
        <rFont val="Bookman Old Style"/>
        <charset val="134"/>
      </rPr>
      <t>/</t>
    </r>
    <r>
      <rPr>
        <sz val="12"/>
        <color theme="1"/>
        <rFont val="Bookman Old Style"/>
        <charset val="134"/>
      </rPr>
      <t xml:space="preserve">sanksi.
2. Dokumen pemberian </t>
    </r>
    <r>
      <rPr>
        <i/>
        <sz val="12"/>
        <color theme="1"/>
        <rFont val="Bookman Old Style"/>
        <charset val="134"/>
      </rPr>
      <t>reward</t>
    </r>
    <r>
      <rPr>
        <sz val="12"/>
        <color theme="1"/>
        <rFont val="Bookman Old Style"/>
        <charset val="134"/>
      </rPr>
      <t xml:space="preserve">/penghargaan kepada pegawai 
    (pegawai pemberi layanan) yang melaksanakan standar 
    pelayanan dengan baik:
    a. Undangan;
    b. Daftar hadir; 
    c. Notula dan dokumentasi kegiatan;
    d. SK Kepala satuan kerja perihal pemberian  reward/ 
        penghargaan;
    e. Sertifikat </t>
    </r>
    <r>
      <rPr>
        <i/>
        <sz val="12"/>
        <color theme="1"/>
        <rFont val="Bookman Old Style"/>
        <charset val="134"/>
      </rPr>
      <t>reward</t>
    </r>
    <r>
      <rPr>
        <sz val="12"/>
        <color theme="1"/>
        <rFont val="Bookman Old Style"/>
        <charset val="134"/>
      </rPr>
      <t xml:space="preserve">/penghargaan.
</t>
    </r>
  </si>
  <si>
    <t>c. Telah terdapat sistem pemberian penghargaan dan sanksi bagi petugas pemberi pelayanan.</t>
  </si>
  <si>
    <t>Telah terdapat sistem pemberian kompensasi kepada penerima layanan bila layanan tidak sesuai standar.</t>
  </si>
  <si>
    <t>a. Telah terdapat sistem pemberian 
    kompensasi bila layanan tidak sesuai 
    standar bagi penerima layanan di seluruh 
    jenis layanan.
b. Telah terdapat sistem pemberian 
    kompensasi bila layanan tidak sesuai 
    standar bagi penerima layanan di sebagian 
    besar jenis layanan.
c. Telah terdapat sistem pemberian kompensasi 
    bila layanan tidak sesuai standar bagi 
    penerima layanan di sebagian kecil jenis 
    layanan.
d. Belum terdapat sistem pemberian 
    kompensasi bila layanan tidak sesuai 
    standar.</t>
  </si>
  <si>
    <r>
      <rPr>
        <sz val="12"/>
        <color theme="1"/>
        <rFont val="Bookman Old Style"/>
        <charset val="134"/>
      </rPr>
      <t xml:space="preserve">Dokumen penetapan kompensasi layanan jika layanan tidak sesuai standar:
</t>
    </r>
    <r>
      <rPr>
        <b/>
        <sz val="12"/>
        <color theme="1"/>
        <rFont val="Bookman Old Style"/>
        <charset val="134"/>
      </rPr>
      <t>B03:</t>
    </r>
    <r>
      <rPr>
        <sz val="12"/>
        <color theme="1"/>
        <rFont val="Bookman Old Style"/>
        <charset val="134"/>
      </rPr>
      <t xml:space="preserve">
a) SK Kepala satuan kerja perihal penetapan Kompensasi 
    layanan terhadap seluruh jenis layanan yang diselenggarakan 
    pada satuan kerja tersebut.
</t>
    </r>
    <r>
      <rPr>
        <b/>
        <sz val="12"/>
        <color theme="1"/>
        <rFont val="Bookman Old Style"/>
        <charset val="134"/>
      </rPr>
      <t>B03, B09:</t>
    </r>
    <r>
      <rPr>
        <sz val="12"/>
        <color theme="1"/>
        <rFont val="Bookman Old Style"/>
        <charset val="134"/>
      </rPr>
      <t xml:space="preserve">
Dokumentasi pemberian kompensasi layanan kepada 
masyarakat.</t>
    </r>
  </si>
  <si>
    <t>d. Telah terdapat sistem pemberian kompensasi kepada penerima layanan bila layanan tidak sesuai standar.</t>
  </si>
  <si>
    <t>Terdapat sarana layanan terpadu/terintegrasi.</t>
  </si>
  <si>
    <t>a. Jika seluruh pelayanan sudah dilakukan 
    secara terpadu/terintegrasi.
b. Jika sebagian besar pelayanan sudah 
    dilakukan secara terpadu/terintegrasi.
c. Jika sebagian kecil pelayanan sudah 
    dilakukan secara terpadu/terintegrasi. 
d. Jika tidak ada pelayanan yang dilakukan 
    secara terpadu/terintegrasi.</t>
  </si>
  <si>
    <t xml:space="preserve">Laporan yang berisi mengenai layanan terpadu/ terintegrasi yang diselenggarakan oleh Satuan Kerja dan disertai penjelasan mengenai alur/ proses layanan tersebut serta didukung dengan dokumentasi layanannya.
Contoh: 
Layanan pada Kantor Wilayah sudah diselenggarakan pada satu area yang dapat diakses dan tidak tergabung pada ruang kerja pegawai.
</t>
  </si>
  <si>
    <t>e. Terdapat sarana layanan terpadu/terintegrasi.</t>
  </si>
  <si>
    <t>Terdapat inovasi pelayanan.</t>
  </si>
  <si>
    <t>a. Jika unit kerja telah memiliki inovasi 
    pelayanan yang  berbeda dengan unit kerja 
    lain dan mendekatkan pelayanan dengan 
    masyarakat serta telah direplikasi. 
b. Jika unit kerja telah memiliki inovasi 
    pelayanan yang  berbeda dengan unit kerja 
    lain dan mendekatkan pelayanan dengan 
    masyarakat.
c. Jika unit kerja memiliki inovasi yang 
    merupakan replikasi dan pengembangan dari 
    inovasi yang sudah ada.
d. Jika unit kerja telah memiliki inovasi akan 
    tetapi merupakan pelaksanaan inovasi dari 
    instansi pemerintah.
e. Jika  unit kerja belum memiliki inovasi 
    pelayanan.</t>
  </si>
  <si>
    <r>
      <rPr>
        <sz val="12"/>
        <color theme="1"/>
        <rFont val="Bookman Old Style"/>
        <charset val="134"/>
      </rPr>
      <t xml:space="preserve">1.Laporan Inovasi turunan dari unit Eselon I pembina yang berisi 
   informasi sebagai berikut:
   a. Informasi terkait inovasi;
   b. Latar belakang risiko pembuatan inovasi tersebut;
   c. </t>
    </r>
    <r>
      <rPr>
        <i/>
        <sz val="12"/>
        <color theme="1"/>
        <rFont val="Bookman Old Style"/>
        <charset val="134"/>
      </rPr>
      <t xml:space="preserve">Impact </t>
    </r>
    <r>
      <rPr>
        <sz val="12"/>
        <color theme="1"/>
        <rFont val="Bookman Old Style"/>
        <charset val="134"/>
      </rPr>
      <t xml:space="preserve">Inovasi tersebut terhadap satuan kerja dan terhadap 
       masyarakat;
   d. </t>
    </r>
    <r>
      <rPr>
        <i/>
        <sz val="12"/>
        <color theme="1"/>
        <rFont val="Bookman Old Style"/>
        <charset val="134"/>
      </rPr>
      <t xml:space="preserve">Output </t>
    </r>
    <r>
      <rPr>
        <sz val="12"/>
        <color theme="1"/>
        <rFont val="Bookman Old Style"/>
        <charset val="134"/>
      </rPr>
      <t xml:space="preserve">yang dihasilkan dari inovasi layanan;
   e. PNBP yang dihasilkan dari inovasi layanan (jika ada).
2. Laporan Inovasi Layanan Publik yang dihasilkan oleh satuan 
    kerja yang berisi informasi sebagai berikut:
    a. Informasi terkait inovasi;
    b. Latar belakang risiko pembuatan inovasi tersebut;
    c. </t>
    </r>
    <r>
      <rPr>
        <i/>
        <sz val="12"/>
        <color theme="1"/>
        <rFont val="Bookman Old Style"/>
        <charset val="134"/>
      </rPr>
      <t>Impact</t>
    </r>
    <r>
      <rPr>
        <sz val="12"/>
        <color theme="1"/>
        <rFont val="Bookman Old Style"/>
        <charset val="134"/>
      </rPr>
      <t xml:space="preserve"> Inovasi tersebut terhadap satuan kerja dan terhadap 
        masyarakat;
    d. </t>
    </r>
    <r>
      <rPr>
        <i/>
        <sz val="12"/>
        <color theme="1"/>
        <rFont val="Bookman Old Style"/>
        <charset val="134"/>
      </rPr>
      <t>Output</t>
    </r>
    <r>
      <rPr>
        <sz val="12"/>
        <color theme="1"/>
        <rFont val="Bookman Old Style"/>
        <charset val="134"/>
      </rPr>
      <t xml:space="preserve"> yang dihasilkan dari inovasi layanan;
    e. PNBP yang dihasilkan dari inovasi layanan (jika ada);
3. Penanganan Risiko pelayanan publik dan integritas pegawai 
    (Ada pada area 5).
4. Surat pernyataan replikasi inovasi dari unit satuan kerja 
    lainnya.
5. </t>
    </r>
    <r>
      <rPr>
        <i/>
        <sz val="12"/>
        <color theme="1"/>
        <rFont val="Bookman Old Style"/>
        <charset val="134"/>
      </rPr>
      <t>Manual book</t>
    </r>
    <r>
      <rPr>
        <sz val="12"/>
        <color theme="1"/>
        <rFont val="Bookman Old Style"/>
        <charset val="134"/>
      </rPr>
      <t xml:space="preserve"> untuk inovasi yang berbasis aplikasi.</t>
    </r>
  </si>
  <si>
    <t>f. Terdapat inovasi pelayanan.</t>
  </si>
  <si>
    <t>Pengelolaan Pengaduan</t>
  </si>
  <si>
    <t xml:space="preserve">Terdapat media pengaduan dan konsultasi pelayanan yang terintegrasi dengan SP4N-Lapor!. </t>
  </si>
  <si>
    <r>
      <rPr>
        <sz val="12"/>
        <color theme="1"/>
        <rFont val="Bookman Old Style"/>
        <charset val="134"/>
      </rPr>
      <t xml:space="preserve">a. Terdapat media konsultasi dan pengaduan 
    secara </t>
    </r>
    <r>
      <rPr>
        <i/>
        <sz val="12"/>
        <color theme="1"/>
        <rFont val="Bookman Old Style"/>
        <charset val="134"/>
      </rPr>
      <t>offline</t>
    </r>
    <r>
      <rPr>
        <sz val="12"/>
        <color theme="1"/>
        <rFont val="Bookman Old Style"/>
        <charset val="134"/>
      </rPr>
      <t xml:space="preserve"> dan </t>
    </r>
    <r>
      <rPr>
        <i/>
        <sz val="12"/>
        <color theme="1"/>
        <rFont val="Bookman Old Style"/>
        <charset val="134"/>
      </rPr>
      <t>online</t>
    </r>
    <r>
      <rPr>
        <sz val="12"/>
        <color theme="1"/>
        <rFont val="Bookman Old Style"/>
        <charset val="134"/>
      </rPr>
      <t xml:space="preserve">, tersedia petugas 
    khusus yang menangani, dan terintegrasi 
    dengan SP4N-LAPOR!. 
b. Terdapat media konsultasi dan pengaduan 
    secara </t>
    </r>
    <r>
      <rPr>
        <i/>
        <sz val="12"/>
        <color theme="1"/>
        <rFont val="Bookman Old Style"/>
        <charset val="134"/>
      </rPr>
      <t>offline</t>
    </r>
    <r>
      <rPr>
        <sz val="12"/>
        <color theme="1"/>
        <rFont val="Bookman Old Style"/>
        <charset val="134"/>
      </rPr>
      <t xml:space="preserve"> dan </t>
    </r>
    <r>
      <rPr>
        <i/>
        <sz val="12"/>
        <color theme="1"/>
        <rFont val="Bookman Old Style"/>
        <charset val="134"/>
      </rPr>
      <t>online</t>
    </r>
    <r>
      <rPr>
        <sz val="12"/>
        <color theme="1"/>
        <rFont val="Bookman Old Style"/>
        <charset val="134"/>
      </rPr>
      <t xml:space="preserve">, tersedia petugas 
    khusus yang menangani namun belum 
    terintegrasi dengan SP4N-LAPOR!.
c. Terdapat media konsultasi dan pengaduan 
    secara </t>
    </r>
    <r>
      <rPr>
        <i/>
        <sz val="12"/>
        <color theme="1"/>
        <rFont val="Bookman Old Style"/>
        <charset val="134"/>
      </rPr>
      <t>offline</t>
    </r>
    <r>
      <rPr>
        <sz val="12"/>
        <color theme="1"/>
        <rFont val="Bookman Old Style"/>
        <charset val="134"/>
      </rPr>
      <t xml:space="preserve"> dan </t>
    </r>
    <r>
      <rPr>
        <i/>
        <sz val="12"/>
        <color theme="1"/>
        <rFont val="Bookman Old Style"/>
        <charset val="134"/>
      </rPr>
      <t>online</t>
    </r>
    <r>
      <rPr>
        <sz val="12"/>
        <color theme="1"/>
        <rFont val="Bookman Old Style"/>
        <charset val="134"/>
      </rPr>
      <t xml:space="preserve">, namun belum 
    tersedia petugas khusus yang menangani.
d. Hanya terdapat media konsultasi dan 
    pengaduan secara </t>
    </r>
    <r>
      <rPr>
        <i/>
        <sz val="12"/>
        <color theme="1"/>
        <rFont val="Bookman Old Style"/>
        <charset val="134"/>
      </rPr>
      <t xml:space="preserve">offline. </t>
    </r>
    <r>
      <rPr>
        <sz val="12"/>
        <color theme="1"/>
        <rFont val="Bookman Old Style"/>
        <charset val="134"/>
      </rPr>
      <t xml:space="preserve">
e. Tidak terdapat media konsultasi dan 
    pengaduan.</t>
    </r>
  </si>
  <si>
    <r>
      <rPr>
        <sz val="12"/>
        <color theme="1"/>
        <rFont val="Bookman Old Style"/>
        <charset val="134"/>
      </rPr>
      <t xml:space="preserve">1.  </t>
    </r>
    <r>
      <rPr>
        <i/>
        <sz val="12"/>
        <color theme="1"/>
        <rFont val="Bookman Old Style"/>
        <charset val="134"/>
      </rPr>
      <t>Screenshot dashboard</t>
    </r>
    <r>
      <rPr>
        <sz val="12"/>
        <color theme="1"/>
        <rFont val="Bookman Old Style"/>
        <charset val="134"/>
      </rPr>
      <t xml:space="preserve"> e-Lapor yang mencantumkan nama 
     satuan kerja.
2. </t>
    </r>
    <r>
      <rPr>
        <i/>
        <sz val="12"/>
        <color theme="1"/>
        <rFont val="Bookman Old Style"/>
        <charset val="134"/>
      </rPr>
      <t>Capture</t>
    </r>
    <r>
      <rPr>
        <sz val="12"/>
        <color theme="1"/>
        <rFont val="Bookman Old Style"/>
        <charset val="134"/>
      </rPr>
      <t xml:space="preserve"> ruang layanan pengaduan dan petugas yang 
     menangani pengaduan.
3. SK Tim Pengelola Pengaduan diterbitkan kepala  
     satuan kerja.</t>
    </r>
  </si>
  <si>
    <t xml:space="preserve">a. Terdapat media pengaduan dan konsultasi pelayanan yang terintegrasi dengan SP4N-Lapor!. </t>
  </si>
  <si>
    <t>Terdapat unit yang mengelola pengaduan dan konsultasi pelayanan.</t>
  </si>
  <si>
    <t xml:space="preserve">a. Terdapat unit pengelola khusus untuk 
    konsultasi dan pengaduan, serta surat 
    penugasan pengelola SP4N-LAPOR! di level 
    unit kerja.
b. Terdapat SK pengelola SP4N-LAPOR! di level 
    instansi dan/atau surat penugasan pengelola 
    SP4N-LAPOR! di level unit kerja, namun unit 
    pengelola khusus untuk konsultasi dan 
    pengaduan belum ada.
c. Belum terdapat unit pengelola khusus untuk 
    konsultasi dan pengaduan, serta belum 
    terdapat SK pengelola SP4N-LAPOR! di level 
    instansi dan/atau surat penugasan pengelola 
    SP4N-LAPOR! di level unit kerja. </t>
  </si>
  <si>
    <t>SK Tim Pengelola Pengaduan yang diterbitkan kepala satuan kerja.</t>
  </si>
  <si>
    <t>b. Terdapat unit yang mengelola pengaduan dan konsultasi pelayanan.</t>
  </si>
  <si>
    <t>Telah dilakukan evaluasi atas penanganan keluhan/masukan dan konsultasi.</t>
  </si>
  <si>
    <t>a. Evaluasi atas penanganan keluhan/masukan 
    dan konsultasi dilakukan secara berkala.
b. Evaluasi  atas penanganan keluhan/ 
    masukan dan konsultasi dilakukan  tidak 
    berkala.
c. Belum dilakukan evaluasi penanganan 
    keluhan/masukan dan konsultasi.</t>
  </si>
  <si>
    <r>
      <rPr>
        <b/>
        <sz val="12"/>
        <color theme="1"/>
        <rFont val="Bookman Old Style"/>
        <charset val="134"/>
      </rPr>
      <t>B03, B06, B09, B12:</t>
    </r>
    <r>
      <rPr>
        <sz val="12"/>
        <color theme="1"/>
        <rFont val="Bookman Old Style"/>
        <charset val="134"/>
      </rPr>
      <t xml:space="preserve">
1. Laporan Pelaksanaan penanganan pengaduan triwulan.
</t>
    </r>
    <r>
      <rPr>
        <b/>
        <sz val="12"/>
        <color theme="1"/>
        <rFont val="Bookman Old Style"/>
        <charset val="134"/>
      </rPr>
      <t>B03, B09:</t>
    </r>
    <r>
      <rPr>
        <sz val="12"/>
        <color theme="1"/>
        <rFont val="Bookman Old Style"/>
        <charset val="134"/>
      </rPr>
      <t xml:space="preserve">
2. Laporan Evaluasi penanganan pengaduan per semester.</t>
    </r>
  </si>
  <si>
    <t>c. Telah dilakukan evaluasi atas penanganan keluhan/masukan dan konsultasi.</t>
  </si>
  <si>
    <t>Penilaian Kepuasan terhadap Pelayanan</t>
  </si>
  <si>
    <t>Telah dilakukan survey kepuasan masyarakat terhadap pelayanan.</t>
  </si>
  <si>
    <t>a. Survei kepuasan masyarakat terhadap 
    pelayanan dilakukan minimal 4 kali dalam 
    setahun.
b. Survei kepuasan masyarakat terhadap 
    pelayanan dilakukan minimal 3 kali dalam 
    setahun.
c. Survei kepuasan masyarakat terhadap 
    pelayanan dilakukan minimal 2 kali dalam 
    setahun.
d. Survei kepuasan masyarakat terhadap 
    pelayanan dilakukan minimal 1 kali dalam 
    setahun.
e. Belum dilakukan survei kepuasan 
    masyarakat terhadap pelayanan.</t>
  </si>
  <si>
    <t>Laporan hasil pelaksanaan SPAK-SPKP/SKM satuan kerja setiap Triwulan dengan disertai analisa grafik QR Code (indikator merah, kuning, hijau dan biru).
Keterangan: 
Laporan hasil pelaksanaan SPAK-SPKP/SKM dapat diunduh melalui aplikasi STARApp Survei 3A menggunakan akun operator masing-masing satuan kerja</t>
  </si>
  <si>
    <t>a. Telah dilakukan survey kepuasan masyarakat terhadap pelayanan.</t>
  </si>
  <si>
    <t>Hasil survei kepuasan masyarakat dapat diakses secara terbuka.</t>
  </si>
  <si>
    <r>
      <rPr>
        <sz val="12"/>
        <color theme="1"/>
        <rFont val="Bookman Old Style"/>
        <charset val="134"/>
      </rPr>
      <t xml:space="preserve">a. Hasil survei kepuasan masyarakat dapat 
    diakses secara  </t>
    </r>
    <r>
      <rPr>
        <i/>
        <sz val="12"/>
        <color theme="1"/>
        <rFont val="Bookman Old Style"/>
        <charset val="134"/>
      </rPr>
      <t>online</t>
    </r>
    <r>
      <rPr>
        <sz val="12"/>
        <color theme="1"/>
        <rFont val="Bookman Old Style"/>
        <charset val="134"/>
      </rPr>
      <t xml:space="preserve"> (</t>
    </r>
    <r>
      <rPr>
        <i/>
        <sz val="12"/>
        <color theme="1"/>
        <rFont val="Bookman Old Style"/>
        <charset val="134"/>
      </rPr>
      <t>website</t>
    </r>
    <r>
      <rPr>
        <sz val="12"/>
        <color theme="1"/>
        <rFont val="Bookman Old Style"/>
        <charset val="134"/>
      </rPr>
      <t xml:space="preserve">, media sosial, 
    dll) dan </t>
    </r>
    <r>
      <rPr>
        <i/>
        <sz val="12"/>
        <color theme="1"/>
        <rFont val="Bookman Old Style"/>
        <charset val="134"/>
      </rPr>
      <t>offline.</t>
    </r>
    <r>
      <rPr>
        <sz val="12"/>
        <color theme="1"/>
        <rFont val="Bookman Old Style"/>
        <charset val="134"/>
      </rPr>
      <t xml:space="preserve">
b. Hasil survei kepuasan masyarakat hanya 
    dapat diakses secara </t>
    </r>
    <r>
      <rPr>
        <i/>
        <sz val="12"/>
        <color theme="1"/>
        <rFont val="Bookman Old Style"/>
        <charset val="134"/>
      </rPr>
      <t>offline</t>
    </r>
    <r>
      <rPr>
        <sz val="12"/>
        <color theme="1"/>
        <rFont val="Bookman Old Style"/>
        <charset val="134"/>
      </rPr>
      <t xml:space="preserve"> di tempat 
    layanan.
c. Hasil survei kepuasan masyarakat tidak 
    dipublikasi.</t>
    </r>
  </si>
  <si>
    <t>Dokumen capture publikasi hasil SPAK-SPKP/SKM melalui spanduk, brosur, poster, media visual dan/atau media sosial.</t>
  </si>
  <si>
    <t>b. Hasil survei kepuasan masyarakat dapat diakses secara terbuka.</t>
  </si>
  <si>
    <t>Dilakukan tindak lanjut atas hasil survei kepuasan masyarakat.</t>
  </si>
  <si>
    <t>a. Jika dilakukan tindak lanjut atas seluruh 
    hasil survei kepuasan masyarakat
b. Jika dilakukan tindak lanjut atas sebagian 
    besar hasil survei kepuasan masyarakat
c. Jika dilakukan tindak lanjut atas sebagian 
    kecil hasil survei kepuasan masyarakat
d. Jika belum dilakukan tindak lanjut atas hasil 
    survei kepuasan masyarakat</t>
  </si>
  <si>
    <t>Dokumen laporan tindak lanjut atas hasil SPAK-SPKP/SKM masing-masing satuan kerja sebagai dokumen pelaksanaan perbaikan jika terdapat pelayanan yang kurang, terdapat sentimen negatif pada satu unsur atau lebih, atau terdapat saran perbaikan dari penerima pelayanan (responden).
Catatan:
Laporan tindak lanjut hasil SPAK dan SPKP dilaksanakan secara triwulan pada bulan April, Juli, Oktober, dan Desember.</t>
  </si>
  <si>
    <t>c. Dilakukan tindak lanjut atas hasil survei kepuasan masyarakat.</t>
  </si>
  <si>
    <t>Pemanfaatan Teknologi Informasi</t>
  </si>
  <si>
    <t>Telah menerapkan teknologi informasi dalam memberikan pelayanan.</t>
  </si>
  <si>
    <t>a. Terdapat pelayanan yang menggunakan 
    teknologi informasi pada seluruh proses 
    pemberian layanan.
b. Terdapat pelayanan yang menggunakan 
    teknologi informasi pada sebagian besar 
    proses pemberian layanan.
c. Terdapat pelayanan yang menggunakan 
    teknologi informasi pada sebagian kecil 
    proses pemberian layanan.
d. Terdapat pelayanan yang belum 
    menggunakan teknologi informasi pada 
    proses pemberian pelayanan.</t>
  </si>
  <si>
    <t>Laporan penerapan teknologi informasi terhadap layanan publik yang diterbitkan oleh kepala satuan kerja dan berisi informasi penerapan teknologi informasi terhadap seluruh layanan yang diselenggarakan oleh satuan kerja.</t>
  </si>
  <si>
    <t>a. Telah menerapkan teknologi informasi dalam memberikan pelayanan.</t>
  </si>
  <si>
    <t xml:space="preserve">b. </t>
  </si>
  <si>
    <t>Telah membangun database pelayanan yang terintegrasi.</t>
  </si>
  <si>
    <r>
      <rPr>
        <sz val="12"/>
        <color theme="1"/>
        <rFont val="Bookman Old Style"/>
        <charset val="134"/>
      </rPr>
      <t xml:space="preserve">Ya,jika tela membangun </t>
    </r>
    <r>
      <rPr>
        <i/>
        <sz val="12"/>
        <color theme="1"/>
        <rFont val="Bookman Old Style"/>
        <charset val="134"/>
      </rPr>
      <t>database</t>
    </r>
    <r>
      <rPr>
        <sz val="12"/>
        <color theme="1"/>
        <rFont val="Bookman Old Style"/>
        <charset val="134"/>
      </rPr>
      <t xml:space="preserve"> pelayanan yang terintegrasi</t>
    </r>
    <r>
      <rPr>
        <sz val="12"/>
        <color theme="1"/>
        <rFont val="Bookman Old Style"/>
        <charset val="134"/>
      </rPr>
      <t>.</t>
    </r>
  </si>
  <si>
    <r>
      <rPr>
        <i/>
        <sz val="12"/>
        <color theme="1"/>
        <rFont val="Bookman Old Style"/>
        <charset val="134"/>
      </rPr>
      <t>Capture</t>
    </r>
    <r>
      <rPr>
        <sz val="12"/>
        <color theme="1"/>
        <rFont val="Bookman Old Style"/>
        <charset val="134"/>
      </rPr>
      <t xml:space="preserve"> aplikasi layanan yang terintegrasi disertai dengan penjelasan terkait layanan yang terintegrasi:
Misalnya aplikasi SDP, aplikasi SIMKIM, aplikasi STAR ASN, dan aplikasi lainnya.</t>
    </r>
  </si>
  <si>
    <t>b. Telah membangun database pelayanan yang terintegrasi.</t>
  </si>
  <si>
    <t>Telah dilakukan perbaikan secara terus menerus.</t>
  </si>
  <si>
    <t xml:space="preserve">a. Perbaikan dilakukan secara terus-menerus
b. Perbaikan dilakukan tidak secara terus 
    menerus. 
c. Belum dilakukan perbaikan. </t>
  </si>
  <si>
    <t xml:space="preserve">1. Laporan evaluasi penerapan teknologi informasi pada 
    pelayanan publik dan ditandatangani oleh kepala satuan kerja 
    yang berisi informasi terkait dengan perbaikan atau 
    pengembangan aplikasi yang dilakukan secara berkala. 
2. Surat usulan terkait perbaikan atau pengembangan aplikasi. </t>
  </si>
  <si>
    <t>c. Telah dilakukan perbaikan secara terus menerus.</t>
  </si>
  <si>
    <t>REFORM</t>
  </si>
  <si>
    <t>Komitmen dalam perubahan</t>
  </si>
  <si>
    <t>Agen perubahan telah membuat perubahan yang konkret di Instansi (dalam 1 tahun).</t>
  </si>
  <si>
    <t xml:space="preserve">Misalkan dengan kebijakan 1 Agen 1 Perubahan Persentase diperoleh dari Jumlah Perubahan yang dibuat dibagi dengan Jumlah Agen Perubahan. </t>
  </si>
  <si>
    <t>%</t>
  </si>
  <si>
    <r>
      <rPr>
        <sz val="12"/>
        <color theme="1"/>
        <rFont val="Bookman Old Style"/>
        <charset val="134"/>
      </rPr>
      <t xml:space="preserve">1. SK Agen Perubahan yang ditetapkan oleh Kepala Satuan Kerja 
    dengan catatan masing-masing Agen Perubahan yang ditunjuk 
    harus memiliki prestasi/kontribusi dalam pembangunan ZI 
    dan satu agen perubahan minimal memiliki satu produk 
    perubahan.
2. Laporan Kontribusi Agen Perubahan yang ditandatangani oleh 
    kepala satuan kerja yang berisi penerapan dari masing-masing 
    produk perubahan.
Keterangan:
TPI melakukan penilaian bahwa setiap Agen Perubahan yang ditunjuk harus memiliki minimal 1 (satu) Proyek Perubahan dan kontribusi dari proyek perubahan tersebut berhubungan dengan Pembangunan ZI menuju WBK dan WBBM, yang terintegrasi dengan Sistem Manajemen pada satuan kerja (tidak termasuk </t>
    </r>
    <r>
      <rPr>
        <i/>
        <sz val="12"/>
        <color theme="1"/>
        <rFont val="Bookman Old Style"/>
        <charset val="134"/>
      </rPr>
      <t>jingle</t>
    </r>
    <r>
      <rPr>
        <sz val="12"/>
        <color theme="1"/>
        <rFont val="Bookman Old Style"/>
        <charset val="134"/>
      </rPr>
      <t>, maskot, jargon).</t>
    </r>
  </si>
  <si>
    <t>a. Agen perubahan telah membuat perubahan yang konkret di Instansi (dalam 1 tahun).</t>
  </si>
  <si>
    <t>- Jumlah Agen Perubahan</t>
  </si>
  <si>
    <t>Jumlah</t>
  </si>
  <si>
    <t>- Jumlah Perubahan yang dibuat</t>
  </si>
  <si>
    <t>Perubahan yang dibuat Agen Perubahan telah terintegrasi dalam sistem manajemen.</t>
  </si>
  <si>
    <r>
      <rPr>
        <sz val="12"/>
        <color theme="1"/>
        <rFont val="Bookman Old Style"/>
        <charset val="134"/>
      </rPr>
      <t xml:space="preserve">1. SK Agen Perubahan yang ditetapkan oleh Kepala Satuan Kerja 
    dengan catatan masing-masing Agen Perubahan yang ditunjuk 
    harus memiliki prestasi/kontribusi dalam pembangunan ZI 
    dan satu agen perubahan minimal memiliki satu produk 
    perubahan.
2. Laporan Kontribusi Agen Perubahan yang ditandatangani oleh 
    kepala satuan kerja yang berisi penerapan dari masing-masing 
    produk perubahan.
3. Bahwa setiap proyek perubahan yang dilakukan terintegrasi 
    dengan sistem kantor dengan menyusun SOP  yang 
    ditandatangani oleh Kepala Satuan Kerja.
Keterangan:
TPI melakukan penilaian terhadap Proyek Perubahan dari masing-masing Agen Perubahan harus terintegrasi dengan Sistem Manajemen pada satuan kerja (tidak termasuk </t>
    </r>
    <r>
      <rPr>
        <i/>
        <sz val="12"/>
        <color theme="1"/>
        <rFont val="Bookman Old Style"/>
        <charset val="134"/>
      </rPr>
      <t>jingle</t>
    </r>
    <r>
      <rPr>
        <sz val="12"/>
        <color theme="1"/>
        <rFont val="Bookman Old Style"/>
        <charset val="134"/>
      </rPr>
      <t>, maskot, jargon).</t>
    </r>
  </si>
  <si>
    <t>b. Perubahan yang dibuat Agen Perubahan telah terintegrasi dalam sistem manajemen.</t>
  </si>
  <si>
    <t>- Jumlah Perubahan yang telah diintegrasikan dalam sistem manajemen</t>
  </si>
  <si>
    <t>Komitmen Pimpinan</t>
  </si>
  <si>
    <t>Pimpinan memiliki komitmen terhadap pelaksanaan reformasi birokrasi, dengan adanya target capaian reformasi yang jelas di dokumen perencanaan.</t>
  </si>
  <si>
    <t>a. Target capaian zona integritas sudah ada di 
    dokumen perencanaan unit kerja dan 
    sebagian besar (diatas 80%) sudah tercapai.
b. Target capaian zona integritas sudah ada di 
    dokumen perencanaan unit kerja dan 
    sebagian (diatas 50%) sudah tercapai. 
c. Target capaian zona integritas sudah ada di 
    dokumen perencanaan unit kerja dan 
    sebagian kecil (dibawah 50%) sudah tercapai. 
d. Target capaian zona integritas sudah ada di 
    dokumen perencanaan unit kerja, namun 
    belum ada yang tercapai (masih dalam tahap 
    pembangunan). 
e. Tidak ada target capaian zona integritas di 
    dokumen perencanaan unit kerja.</t>
  </si>
  <si>
    <t>1. Rencana Kerja Pembangunan Kerja Zona Integritas.
2. Laporan Monitoring dan Evaluasi Pembangunan ZI secara 
    Triwulan.
3. Laporan Evaluasi Rencana Kerja Pembangunan Zona 
    Integritas pada satuan kerja secara Triwulan yang berisi 
    persentase pencapaian realisasi dari rencana kerja ZI.
Keterangan:
TPI melakukan penilaian terhadap pencapaian target pada Rencana Kerja ZI. Apabila target capaian ZI lebih dari dari 80% dapat diberikan nilai A.</t>
  </si>
  <si>
    <t>Membangun Budaya Kerja</t>
  </si>
  <si>
    <t>Instansi membangun budaya kerja positif dan menerapkan nilai-nilai organisasi dalam pelaksanaan tugas sehari-hari.</t>
  </si>
  <si>
    <t xml:space="preserve">a. Budaya kerja dan nilai-nilai organisasi telah 
    dinternalisasi ke seluruh anggota organisasi, 
    dan penerapannya dituangkan dalam standar 
    operasional pelaksanaan kegiatan/tugas.
b. Budaya kerja dan nilai-nilai organisasi telah 
    dinternalisasi ke seluruh anggota organisasi, 
    namun belum dituangkan dalam standar 
    operasional pelaksanaan kegiatan/tugas. 
c. Budaya kerja dan nilai-nilai organisasi telah 
    disusun, namun belum dinternalisasi ke 
    seluruh anggota organisasi. 
d. Belum menyusun budaya kerja dan nilai-
    nilai organisasi. </t>
  </si>
  <si>
    <t xml:space="preserve">1. Permenkumham No. 20 tahun 2017 tentang Kode Etik dan 
    Kode Perilaku Pegawai Kemenkumham.
2. Laporan Penerapan budaya kerja dan tata nilai pada satuan 
    kerja yang berisi SOP dan kaitannya dengan tata nilai ber-
    AKHLAK.
Contoh: 
Pada Kanim SOP Pembuatan Paspor berkaitan dengan tata nilai Berorientasi Pelayanan, Profesional, Inovatif, Kompeten, dll.
</t>
  </si>
  <si>
    <t>Peta Proses Bisnis Mempengaruhi Penyederhanaan Jabatan</t>
  </si>
  <si>
    <t xml:space="preserve">Telah disusun peta proses bisnis dengan adanya penyederhanaan jabatan. </t>
  </si>
  <si>
    <t>a. Peta proses bisnis telah disusun dan 
    mempengaruhi penyederhanaan seluruh 
    jabatan.
b. Peta proses bisnis telah disusun dan 
    mempengaruhi penyederhanaan sebagian 
    besar (lebih dari 50%) jabatan.
c. Peta proses bisnis telah disusun dan 
    mempengaruhi penyederhanaan sebagian 
    kecil (kurang dari 50%)  jabatan.
d. Peta proses bisnis telah disusun dan belum 
    mempengaruhi penyederhanaan jabatan.</t>
  </si>
  <si>
    <t>1. Untuk unit Eselon I dan Kanwil  menyajikan ORTA terbaru 
    sesuai Peraturan Menteri Imigrasi dan  Pemasyarakatan. 
    Untuk UPT bisa menggunakan ORTA sebelumnya.
2. Peta proses bisnis level  0-2 
Keterangan:
Apabila belum terdapat proses bisnis level 0-2, maka data dukung dipenuhi dengan Surat Pernyataan dari Kepala Biro Sumber Daya Manusia Aparatur, Organisasi, dan Ketatalaksanaan.</t>
  </si>
  <si>
    <t>Sistem Pemerintahan Berbasis Elektronik (SPBE) yang Terintegrasi</t>
  </si>
  <si>
    <t>Implementasi SPBE telah terintegrasi dan mampu mendorong pelaksanaan pelayanan publik yang lebih cepat dan efisien.</t>
  </si>
  <si>
    <t xml:space="preserve">a. Implementasi SPBE telah terintegrasi dan 
    mampu mendorong pelaksanaan pelayanan 
    publik yang lebih cepat dan efisien. 
b. Implementasi SPBE telah mampu mendorong 
    pelaksanaan pelayanan publik yang lebih 
    cepat dan efisien, namun belum terintegrasi 
    (parsial). 
c. Implementasi SPBE belum mendorong 
    pelaksanaan pelayanan publik yang lebih 
    cepat dan efisien. </t>
  </si>
  <si>
    <t>Laporan Penerapan SPBE pada Pelayanan Publik yang berisi informasi layanan publik yang sudah berbasis SPBE dan yang belum berbasis SPBE, disertai dengan lampiran dokumentasi. 
Keterangan: 
TPI melakukan penilaian apakah SPBE yang dibangun telah terintegrasi dengan Pelayanan Publik dan memberikan impact pada Layanan Publik yang lebih cepat dan efisien.</t>
  </si>
  <si>
    <t>a. Implementasi SPBE telah terintegrasi dan mampu mendorong pelaksanaan pelayanan publik yang lebih cepat dan efisien.</t>
  </si>
  <si>
    <t>Implementasi SPBE telah terintegrasi dan mampu mendorong pelaksanaan pelayanan internal organisasi yang lebih cepat dan efisien.</t>
  </si>
  <si>
    <t xml:space="preserve">a. Implementasi SPBE telah terintegrasi dan 
    mampu mendorong pelaksanaan pelayanan 
    internal unit kerja yang lebih cepat dan 
    efisien. 
b. Implementasi SPBE telah mampu mendorong 
    pelaksanaan pelayanan internal unit kerja 
    yang lebih cepat dan efisien, namun belum 
    terintegrasi (parsial).
c. Implementasi SPBE belum mendorong 
    pelaksanaan pelayanan internal unit kerja 
    yang lebih cepat dan efisien. </t>
  </si>
  <si>
    <t xml:space="preserve">Laporan Penerapan SPBE pada Pelayanan Internal yang berisi informasi layanan internal yang sudah berbasis SPBE dan yang belum berbasis SPBE, disertai dengan lampiran dokumentasi.
Keterangan: 
TPI melakukan penilaian apakah SPBE yang dibangun telah terintegrasi dengan Pelayanan Internal Satuan Kerja dan memberikan impact pada Layanan Internal yang lebih cepat dan efisien (Perbaiki template sesuai template poin A). 
</t>
  </si>
  <si>
    <t>b. Implementasi SPBE telah terintegrasi dan mampu mendorong pelaksanaan pelayanan internal organisasi yang lebih cepat dan efisien.</t>
  </si>
  <si>
    <t>Transformasi Digital Memberikan Nilai Manfaat</t>
  </si>
  <si>
    <t xml:space="preserve">Transformasi digital pada bidang proses bisnis utama telah mampu memberikan nilai manfaat bagi unit kerja secara optimal. </t>
  </si>
  <si>
    <t>a. Kriteria huruf b telah terpenuhi dan 
    penerapan atau penggunaan dari 
    manfaat/dampak dari transformasi digital 
    pada bidang proses bisnis utama bagi unit 
    kerja telah dilakukan validasi dan evaluasi 
    serta ditindaklanjuti secara berkelanjutan.
b. Kriteria huruf c telah terpenuhi dan 
    manfaat/dampak dari transformasi digital 
    pada bidang proses bisnis utama telah 
    diterapkan/digunakan oleh unit kerja sesuai 
    dengan sasaran dan target manfaat/dampak.
c. Kriteria huruf d telah terpenuhi dan 
    manfaat/dampak dari transformasi digital 
    pada bidang proses bisnis utama telah 
    mampu direalisasikan pada unit kerja sesuai 
    dengan sasaran dan target manfaat/dampak.
d. Kriteria huruf e telah terpenuhi dan 
    kapabilitas prakiraan dan pelacakan 
    terhadap sasaran dan target manfaat/ 
    dampak dari transformasi digital pada bidang 
    proses bisnis utama
e. Sasaran dan target manfaat/dampak dari 
    transformasi digital pada bidang proses 
    bisnis utama telah direncanakan, 
    didefinisikan, dan ditetapkan</t>
  </si>
  <si>
    <t>1. Kepmenimipas tentang Arsitektur dan Peta Rencana SPBE  
    2025-2029. 
2. Laporan Reviu dan Evaluasi Aplikasi yang berisi reviu dan 
    evaluasi atas penerapan aplikasi Proses Bisnis  
    pada satuan kerja yang terkait dengan Proses Bisnis.  
Keterangan:
-   TPI melakukan penilaian terhadap Laporan Reviu dan Evaluasi 
    Aplikasi apakah  penerapan atau penggunaan dari manfaat/ 
    dampak dari transformasi digital pada bidang proses bisnis 
    utama bagi unit kerja telah dilakukan validasi dan evaluasi 
    serta ditindaklanjuti secara berkelanjutan.
-   Dalam laporan terdapat saran reviu dan evaluasi terhadap 
    penerapan aplikasi.</t>
  </si>
  <si>
    <t xml:space="preserve">a. Transformasi digital pada bidang proses bisnis utama telah mampu memberikan nilai manfaat bagi unit kerja secara optimal. </t>
  </si>
  <si>
    <t xml:space="preserve">Transformasi digital pada bidang administrasi pemerintahan telah mampu memberikan nilai manfaat bagi unit kerja secara optimal. </t>
  </si>
  <si>
    <t xml:space="preserve">a. Kriteria huruf b telah terpenuhi dan 
    penerapan atau penggunaan dari 
    manfaat/dampak dari transformasi digital 
    pada bidang administrasi pemerintahan bagi 
    unit kerja telah dilakukan validasi dan 
    evaluasi serta ditindaklanjuti secara 
    berkelanjutan.
b. Kriteria huruf c telah terpenuhi dan 
    manfaat/dampak dari transformasi digital 
    pada bidang administrasi pemerintahan telah 
    diterapkan/digunakan oleh unit kerja sesuai 
    dengan sasaran dan target manfaat/dampak.
c. Kriteria huruf d telah terpenuhi dan 
    manfaat/dampak dari transformasi digital 
    pada bidang administrasi pemerintahan telah 
    mampu direalisasikan pada unit kerja sesuai 
    dengan sasaran dan target manfaat/dampak.
d. Kriteria huruf e telah terpenuhi dan 
    kapabilitas prakiraan dan pelacakan 
    terhadap sasaran dan target manfaat/ 
    dampak dari transformasi digital pada bidang 
    administrasi pemerintahan.
e. Sasaran dan target manfaat/dampak dari 
    transformasi digital pada bidang administrasi 
    pemerintahan telah direncanakan, 
    didefinisikan, dan ditetapkan. </t>
  </si>
  <si>
    <t>1. Kepmenimipas tentang Arsitektur dan Peta Rencana SPBE  
    2025-2029. 
2. Laporan Reviu dan Evaluasi Aplikasi yang berisi reviu dan 
    evaluasi atas penerapan Aplikasi Administrasi Pemerintahan 
    pada satuan kerja seperti Aplikasi Persuratan, Aplikasi terkait 
    pengelolaan keuangan, BMN dan RKA  dan Aplikasi lainnya 
    yang terkait dengan Aplikasi Administrasi Pemerintahan (SRIKANDI). 
Keterangan:
-   TPI melakukan penilaian terhadap Laporan Reviu dan Evaluasi 
    Aplikasi apakah  penerapan atau penggunaan dari 
    manfaat/dampak dari transformasi digital pada pada bidang 
    administrasi pemerintahan bagi unit kerja telah dilakukan 
    validasi dan evaluasi serta ditindaklanjuti secara 
    berkelanjutan.
-   Dalam laporan terdapat saran reviu dan evaluasi terhadap 
    penerapan aplikasi.</t>
  </si>
  <si>
    <t xml:space="preserve">b. Transformasi digital pada bidang administrasi pemerintahan telah mampu memberikan nilai manfaat bagi unit kerja secara optimal. </t>
  </si>
  <si>
    <t>Transformasi digital pada bidang pelayanan publik telah mampu memberikan nilai manfaat bagi unit kerja secara optimal.</t>
  </si>
  <si>
    <t>a. Kriteria huruf b telah terpenuhi dan 
    penerapan atau penggunaan dari 
    manfaat/dampak dari transformasi digital 
    pada bidang pelayanan publik bagi unit kerja 
    telah dilakukan validasi dan evaluasi serta 
    ditindaklanjuti secara berkelanjutan.
b. Kriteria huruf c telah terpenuhi dan 
    manfaat/dampak dari transformasi digital 
    pada bidang pelayanan publik telah 
    diterapkan/digunakan oleh unit kerja sesuai 
    dengan sasaran dan target manfaat/dampak.
c. Kriteria huruf d telah terpenuhi dan 
    manfaat/dampak dari transformasi digital 
    pada bidang pelayanan publik telah mampu 
    direalisasikan pada unit kerja sesuai dengan 
    sasaran dan target manfaat/dampak.
d. Kriteria huruf e telah terpenuhi dan 
    kapabilitas prakiraan dan pelacakan 
    terhadap sasaran dan target manfaat/ 
    dampak dari transformasi digital pada 
    bidang pelayanan publik.
e. Sasaran dan target manfaat/dampak dari 
    transformasi digital pada bidang pelayanan 
    publik telah direncanakan, didefinisikan, 
    dan ditetapkan.</t>
  </si>
  <si>
    <t>1. Kepmenimipas tentang Arsitektur dan Peta Rencana SPBE  
    2025-2029.
2. Laporan Reviu dan Evaluasi Aplikasi yang berisi reviu dan 
    evaluasi atas penerapan Aplikasi Layanan Publik pada satuan 
    kerja seperti Aplikasi Pendaftaran Permohonan Paspor 
    Aplikasi Permohonan Visa dan Aplikasi lainnya  yang terkait
    dengan Aplikasi Layanan Publik.
Keterangan:
-   TPI melakukan penilaian terhadap Laporan Reviu dan Evaluasi 
    Aplikasi apakah  penerapan atau penggunaan dari manfaat/ 
    dampak dari transformasi digital pada bidang pelayanan 
    publik  bagi unit kerja telah dilakukan validasi dan evaluasi 
    serta ditindaklanjuti secara berkelanjutan.
-   Dalam laporan terdapat saran reviu dan evaluasi terhadap 
    penerapan aplikasi.</t>
  </si>
  <si>
    <t>c. Transformasi digital pada bidang pelayanan publik telah mampu memberikan nilai manfaat bagi unit kerja secara optimal.</t>
  </si>
  <si>
    <t>Kinerja Individu</t>
  </si>
  <si>
    <r>
      <rPr>
        <sz val="12"/>
        <color theme="1"/>
        <rFont val="Bookman Old Style"/>
        <charset val="134"/>
      </rPr>
      <t>Ukuran kinerja individu telah berorientasi hasil (</t>
    </r>
    <r>
      <rPr>
        <i/>
        <sz val="12"/>
        <color theme="1"/>
        <rFont val="Bookman Old Style"/>
        <charset val="134"/>
      </rPr>
      <t>outcome</t>
    </r>
    <r>
      <rPr>
        <sz val="12"/>
        <color theme="1"/>
        <rFont val="Bookman Old Style"/>
        <charset val="134"/>
      </rPr>
      <t>) sesuai pada levelnya.</t>
    </r>
  </si>
  <si>
    <r>
      <rPr>
        <sz val="12"/>
        <color theme="1"/>
        <rFont val="Bookman Old Style"/>
        <charset val="134"/>
      </rPr>
      <t>a. Seluruh ukuran kinerja individu telah 
    berorientasi hasil (</t>
    </r>
    <r>
      <rPr>
        <i/>
        <sz val="12"/>
        <color theme="1"/>
        <rFont val="Bookman Old Style"/>
        <charset val="134"/>
      </rPr>
      <t>outcome</t>
    </r>
    <r>
      <rPr>
        <sz val="12"/>
        <color theme="1"/>
        <rFont val="Bookman Old Style"/>
        <charset val="134"/>
      </rPr>
      <t>) sesuai pada 
    levelnya.
b. Sebagian ukuran kinerja individu telah 
    berorientasi hasil (</t>
    </r>
    <r>
      <rPr>
        <i/>
        <sz val="12"/>
        <color theme="1"/>
        <rFont val="Bookman Old Style"/>
        <charset val="134"/>
      </rPr>
      <t>outcome</t>
    </r>
    <r>
      <rPr>
        <sz val="12"/>
        <color theme="1"/>
        <rFont val="Bookman Old Style"/>
        <charset val="134"/>
      </rPr>
      <t>) sesuai pada 
    levelnya. 
c. Tidak ada ukuran kinerja individu yang 
    berorientasi hasil (</t>
    </r>
    <r>
      <rPr>
        <i/>
        <sz val="12"/>
        <color theme="1"/>
        <rFont val="Bookman Old Style"/>
        <charset val="134"/>
      </rPr>
      <t>outcome</t>
    </r>
    <r>
      <rPr>
        <sz val="12"/>
        <color theme="1"/>
        <rFont val="Bookman Old Style"/>
        <charset val="134"/>
      </rPr>
      <t xml:space="preserve">). </t>
    </r>
  </si>
  <si>
    <r>
      <rPr>
        <sz val="12"/>
        <color theme="1"/>
        <rFont val="Bookman Old Style"/>
        <charset val="134"/>
      </rPr>
      <t xml:space="preserve">Dokumen penilaian kinerja individu pada New SKP per jenjang jabatan pada Satuan Kerja yaitu:
1. Rencana SKP;
2. Pembagian Peran Hasil;
3. SKP Tahun Berjalan;
4. Penilaian SKP;
5. Penilaian Kinerja Pegawai;
6. Penilaian PPKP;
7. Integrasi Hasil Penilaian Kinerja (jika ada mutasi/promosi 
    jabatan).
Keterangan:
TPI melakukan penilaian bahwa dalam  seluruh ukuran kinerja pegawai dalam SKP dan Penilaian Kinerja Pegawai telah berorientasi hasil </t>
    </r>
    <r>
      <rPr>
        <i/>
        <sz val="12"/>
        <color theme="1"/>
        <rFont val="Bookman Old Style"/>
        <charset val="134"/>
      </rPr>
      <t>(outcome).</t>
    </r>
  </si>
  <si>
    <t>a. Ukuran kinerja individu telah berorientasi hasil (outcome) sesuai pada levelnya.</t>
  </si>
  <si>
    <r>
      <rPr>
        <b/>
        <i/>
        <sz val="12"/>
        <color theme="1"/>
        <rFont val="Bookman Old Style"/>
        <charset val="134"/>
      </rPr>
      <t>Assessment</t>
    </r>
    <r>
      <rPr>
        <b/>
        <sz val="12"/>
        <color theme="1"/>
        <rFont val="Bookman Old Style"/>
        <charset val="134"/>
      </rPr>
      <t xml:space="preserve"> Pegawai</t>
    </r>
  </si>
  <si>
    <t>Hasil assement telah dijadikan pertimbangan untuk mutasi dan pengembangan karir pegawai.</t>
  </si>
  <si>
    <r>
      <rPr>
        <sz val="12"/>
        <color theme="1"/>
        <rFont val="Bookman Old Style"/>
        <charset val="134"/>
      </rPr>
      <t xml:space="preserve">a. Seluruh hasil </t>
    </r>
    <r>
      <rPr>
        <i/>
        <sz val="12"/>
        <color theme="1"/>
        <rFont val="Bookman Old Style"/>
        <charset val="134"/>
      </rPr>
      <t>assessment</t>
    </r>
    <r>
      <rPr>
        <sz val="12"/>
        <color theme="1"/>
        <rFont val="Bookman Old Style"/>
        <charset val="134"/>
      </rPr>
      <t xml:space="preserve"> dijadikan dasar 
    mutasi internal dan pengembangan 
    kompetensi pegawai.
b. Hasil </t>
    </r>
    <r>
      <rPr>
        <i/>
        <sz val="12"/>
        <color theme="1"/>
        <rFont val="Bookman Old Style"/>
        <charset val="134"/>
      </rPr>
      <t>assessment</t>
    </r>
    <r>
      <rPr>
        <sz val="12"/>
        <color theme="1"/>
        <rFont val="Bookman Old Style"/>
        <charset val="134"/>
      </rPr>
      <t xml:space="preserve"> belum seluruhnya 
    dijadikan mutasi internal dan pengembangan 
    kompetensi pegawai.
c. Hasil </t>
    </r>
    <r>
      <rPr>
        <i/>
        <sz val="12"/>
        <color theme="1"/>
        <rFont val="Bookman Old Style"/>
        <charset val="134"/>
      </rPr>
      <t>assessment</t>
    </r>
    <r>
      <rPr>
        <sz val="12"/>
        <color theme="1"/>
        <rFont val="Bookman Old Style"/>
        <charset val="134"/>
      </rPr>
      <t xml:space="preserve"> belum dijadikan dasar 
    mutasi internal dan pengembangan 
    kompetensi pegawai.</t>
    </r>
  </si>
  <si>
    <r>
      <rPr>
        <sz val="12"/>
        <color theme="1"/>
        <rFont val="Bookman Old Style"/>
        <charset val="134"/>
      </rPr>
      <t xml:space="preserve">1.  Surat usulan mutasi/promosi (untuk UPT ditujukan kepada 
     Kanwil dan untuk Kanwil/Eselon I ditujukan kepada Sekjen)
2. Surat usulan kebutuhan diklat pegawai (untuk UPT ditujukan 
    kepada Kanwil dan untuk Kanwil/Eselon I ditujukan kepada 
    BPSDM)
3. Dokumen Laporan </t>
    </r>
    <r>
      <rPr>
        <i/>
        <sz val="12"/>
        <color theme="1"/>
        <rFont val="Bookman Old Style"/>
        <charset val="134"/>
      </rPr>
      <t>Assessment</t>
    </r>
    <r>
      <rPr>
        <sz val="12"/>
        <color theme="1"/>
        <rFont val="Bookman Old Style"/>
        <charset val="134"/>
      </rPr>
      <t xml:space="preserve"> Pegawai dengan melampirkan 
    hasil </t>
    </r>
    <r>
      <rPr>
        <i/>
        <sz val="12"/>
        <color theme="1"/>
        <rFont val="Bookman Old Style"/>
        <charset val="134"/>
      </rPr>
      <t>assessment</t>
    </r>
    <r>
      <rPr>
        <sz val="12"/>
        <color theme="1"/>
        <rFont val="Bookman Old Style"/>
        <charset val="134"/>
      </rPr>
      <t xml:space="preserve"> dari asesor eksternal atau internal dengan 
    format mengacu pada Perka BKN Nomor 26 Tahun 2019 
Keterangan:
TPI membandingkan hasil </t>
    </r>
    <r>
      <rPr>
        <i/>
        <sz val="12"/>
        <color theme="1"/>
        <rFont val="Bookman Old Style"/>
        <charset val="134"/>
      </rPr>
      <t>assessment</t>
    </r>
    <r>
      <rPr>
        <sz val="12"/>
        <color theme="1"/>
        <rFont val="Bookman Old Style"/>
        <charset val="134"/>
      </rPr>
      <t xml:space="preserve"> dengan usulan promosi maupun usulan kebutuhan diklat.</t>
    </r>
  </si>
  <si>
    <t>a. Hasil assement telah dijadikan pertimbangan untuk mutasi dan pengembangan karir pegawai.</t>
  </si>
  <si>
    <t>Pelanggaran Disiplin Pegawai</t>
  </si>
  <si>
    <t xml:space="preserve">Penurunan pelanggaran disiplin pegawai. </t>
  </si>
  <si>
    <t xml:space="preserve">Persentase pernurunan pelanggaran disiplin pegawai diperoleh dari Jumlah pelanggaran tahun sebelumnya dikurangi Jumlah pelanggaran tahun ini kemudian dibagi dengan Jumlah pelanggaran tahun sebelumnya. </t>
  </si>
  <si>
    <r>
      <rPr>
        <sz val="12"/>
        <color theme="1"/>
        <rFont val="Bookman Old Style"/>
        <charset val="134"/>
      </rPr>
      <t xml:space="preserve">1. Rekapitulasi pelanggaran disiplin pegawai yang ditandatangani 
    oleh kepala satuan kerja untuk 3 tahun terakhir dari tahun 
    evaluasi.
2. </t>
    </r>
    <r>
      <rPr>
        <i/>
        <sz val="12"/>
        <color theme="1"/>
        <rFont val="Bookman Old Style"/>
        <charset val="134"/>
      </rPr>
      <t>Capture</t>
    </r>
    <r>
      <rPr>
        <sz val="12"/>
        <color theme="1"/>
        <rFont val="Bookman Old Style"/>
        <charset val="134"/>
      </rPr>
      <t xml:space="preserve"> Penginputan Hukdis dalam Aplikasi STAR ASN.</t>
    </r>
  </si>
  <si>
    <t xml:space="preserve">a. Penurunan pelanggaran disiplin pegawai. </t>
  </si>
  <si>
    <t>- Jumlah pelanggaran tahun sebelumnya</t>
  </si>
  <si>
    <t>- Jumlah pelanggaran tahun ini</t>
  </si>
  <si>
    <t>- Jumlah pelanggaran yang telah diberikan sanksi/hukuman</t>
  </si>
  <si>
    <t>Meningkatnya capaian kinerja unit kerja</t>
  </si>
  <si>
    <t xml:space="preserve">Persentase Sasaran dengan capaian 100% atau lebih. </t>
  </si>
  <si>
    <t xml:space="preserve">Persentase diperoleh dari Jumlah Sasaran Kinerja yang tercapai 100% atau lebih dibagi dengan Jumlah Sasaran Kinerja. </t>
  </si>
  <si>
    <t xml:space="preserve">Dokumen LKj (Laporan Kinerja) mengacu kepada format yang ditetapkan dalam Pedoman Menteri IMIPAS No. MIP-OT.02.02-49 Tahun 2025 tentang Pedoman Penyusunan Laporan Kinerja Instansi Pemerintah di lingkungan Kementerian Imigrasi dan Pemasyarakatan.
Keterangan:
TPI melakukan penilaian realisasi pencapaian sasaran kinerja yang terdapat dalam LKjIP.
</t>
  </si>
  <si>
    <t xml:space="preserve">a. Persentase Sasaran dengan capaian 100% atau lebih. </t>
  </si>
  <si>
    <t xml:space="preserve">- Jumlah Sasaran Kinerja </t>
  </si>
  <si>
    <t xml:space="preserve">- Jumlah Sasaran Kinerja yang tercapai 100% atau lebih </t>
  </si>
  <si>
    <r>
      <rPr>
        <b/>
        <sz val="12"/>
        <color theme="1"/>
        <rFont val="Bookman Old Style"/>
        <charset val="134"/>
      </rPr>
      <t xml:space="preserve">Pemberian </t>
    </r>
    <r>
      <rPr>
        <b/>
        <i/>
        <sz val="12"/>
        <color theme="1"/>
        <rFont val="Bookman Old Style"/>
        <charset val="134"/>
      </rPr>
      <t>Reward and Punishment</t>
    </r>
  </si>
  <si>
    <t>Hasil Capaian/Monitoring Perjanjian Kinerja telah dijadikan dasar sebagai pemberian reward and punishment bagi organisasi.</t>
  </si>
  <si>
    <r>
      <rPr>
        <sz val="12"/>
        <color theme="1"/>
        <rFont val="Bookman Old Style"/>
        <charset val="134"/>
      </rPr>
      <t xml:space="preserve">a. Seluruh capaian kinerja (Perjanjian Kinerja) 
    merupakan unsur dalam pemberian </t>
    </r>
    <r>
      <rPr>
        <i/>
        <sz val="12"/>
        <color theme="1"/>
        <rFont val="Bookman Old Style"/>
        <charset val="134"/>
      </rPr>
      <t xml:space="preserve">reward 
    and punishment. </t>
    </r>
    <r>
      <rPr>
        <sz val="12"/>
        <color theme="1"/>
        <rFont val="Bookman Old Style"/>
        <charset val="134"/>
      </rPr>
      <t xml:space="preserve">
b. Sebagian besar Capaian Kinerja (lebih dari 
    50% Perjanjian kinerja) merupakan unsur 
    dalam pemberian </t>
    </r>
    <r>
      <rPr>
        <i/>
        <sz val="12"/>
        <color theme="1"/>
        <rFont val="Bookman Old Style"/>
        <charset val="134"/>
      </rPr>
      <t>reward and punishment.</t>
    </r>
    <r>
      <rPr>
        <sz val="12"/>
        <color theme="1"/>
        <rFont val="Bookman Old Style"/>
        <charset val="134"/>
      </rPr>
      <t xml:space="preserve">
c. Sebagian kecil Capaian Kinerja (kurang dari 
    50% Perjanjian kinerja) merupakan unsur 
    dalam pemberian </t>
    </r>
    <r>
      <rPr>
        <i/>
        <sz val="12"/>
        <color theme="1"/>
        <rFont val="Bookman Old Style"/>
        <charset val="134"/>
      </rPr>
      <t>reward and punishment</t>
    </r>
    <r>
      <rPr>
        <sz val="12"/>
        <color theme="1"/>
        <rFont val="Bookman Old Style"/>
        <charset val="134"/>
      </rPr>
      <t xml:space="preserve">
d. Capaian Kinerja (Perjanjian kinerja) belum 
    menjadi unsur dalam pemberian </t>
    </r>
    <r>
      <rPr>
        <i/>
        <sz val="12"/>
        <color theme="1"/>
        <rFont val="Bookman Old Style"/>
        <charset val="134"/>
      </rPr>
      <t>reward and 
    punishment.</t>
    </r>
  </si>
  <si>
    <r>
      <rPr>
        <sz val="12"/>
        <color theme="1"/>
        <rFont val="Bookman Old Style"/>
        <charset val="134"/>
      </rPr>
      <t xml:space="preserve">1. Untuk UPT melampirkan SK pemberian </t>
    </r>
    <r>
      <rPr>
        <i/>
        <sz val="12"/>
        <color theme="1"/>
        <rFont val="Bookman Old Style"/>
        <charset val="134"/>
      </rPr>
      <t>reward/punishment</t>
    </r>
    <r>
      <rPr>
        <sz val="12"/>
        <color theme="1"/>
        <rFont val="Bookman Old Style"/>
        <charset val="134"/>
      </rPr>
      <t xml:space="preserve"> 
    yang diterbitkan oleh Kanwil. 
2. Untuk Kanwil dan Unit Eselon I melampirkan SK pemberian 
    </t>
    </r>
    <r>
      <rPr>
        <i/>
        <sz val="12"/>
        <color theme="1"/>
        <rFont val="Bookman Old Style"/>
        <charset val="134"/>
      </rPr>
      <t xml:space="preserve">reward/punishment </t>
    </r>
    <r>
      <rPr>
        <sz val="12"/>
        <color theme="1"/>
        <rFont val="Bookman Old Style"/>
        <charset val="134"/>
      </rPr>
      <t xml:space="preserve">yang diterbitkan oleh Sekjen. 
Keterangan:
a. TPI menilai apakah Kanwil atau Sekjen menggunakan kriteria 
    seluruh Capaian Kinerja (Perjanjian Kinerja) dalam pemberian 
    </t>
    </r>
    <r>
      <rPr>
        <i/>
        <sz val="12"/>
        <color theme="1"/>
        <rFont val="Bookman Old Style"/>
        <charset val="134"/>
      </rPr>
      <t>reward</t>
    </r>
    <r>
      <rPr>
        <sz val="12"/>
        <color theme="1"/>
        <rFont val="Bookman Old Style"/>
        <charset val="134"/>
      </rPr>
      <t xml:space="preserve"> </t>
    </r>
    <r>
      <rPr>
        <i/>
        <sz val="12"/>
        <color theme="1"/>
        <rFont val="Bookman Old Style"/>
        <charset val="134"/>
      </rPr>
      <t>and</t>
    </r>
    <r>
      <rPr>
        <sz val="12"/>
        <color theme="1"/>
        <rFont val="Bookman Old Style"/>
        <charset val="134"/>
      </rPr>
      <t xml:space="preserve"> </t>
    </r>
    <r>
      <rPr>
        <i/>
        <sz val="12"/>
        <color theme="1"/>
        <rFont val="Bookman Old Style"/>
        <charset val="134"/>
      </rPr>
      <t>punishment</t>
    </r>
    <r>
      <rPr>
        <sz val="12"/>
        <color theme="1"/>
        <rFont val="Bookman Old Style"/>
        <charset val="134"/>
      </rPr>
      <t xml:space="preserve">.
b. Apabila belum diterbitkan SK pemberian </t>
    </r>
    <r>
      <rPr>
        <i/>
        <sz val="12"/>
        <color theme="1"/>
        <rFont val="Bookman Old Style"/>
        <charset val="134"/>
      </rPr>
      <t>reward and 
    punishment</t>
    </r>
    <r>
      <rPr>
        <sz val="12"/>
        <color theme="1"/>
        <rFont val="Bookman Old Style"/>
        <charset val="134"/>
      </rPr>
      <t xml:space="preserve">  maka diberikan nilai D. 
c. dalam memberikan penghargaan mengacu pada Keputusan 
    Menteri IMIPAS Nomor M.IP-42.OT.02.01 Tahun 2025 tentang 
    Tata Cara Pemberian Penghargaan Bagi ASN dan Mitra Kerja 
    di Lingkungan Kementerian IMIPAS.</t>
    </r>
  </si>
  <si>
    <t>Kerangka Logis Kinerja</t>
  </si>
  <si>
    <t xml:space="preserve">Apakah terdapat penjenjangan kinerja ((Kerangka Logis Kinerja) yang mengacu pada kinerja utama  organisasi dan dijadikan dalam penentuan kinerja seluruh pegawai? </t>
  </si>
  <si>
    <t xml:space="preserve">a. Terdapat Kerangka Logis kinerja yang 
    mengacu pada kinerja utama organisasi  dan 
    digunakan dalam penjabaran kinerja seluruh 
    pegawai. 
b. Terdapat  Kerangka Logis kinerja yang 
    mengacu pada kinerja utama organisasi 
    namun belum digunakan dalam penjabaran 
    kinerja seluruh pegawai. 
c. Kerangka Logis kinerja ada namun belum 
    mengacu pada kinerja utama organisasi dan 
    belum digunakan dalam penjabaran kinerja 
    seluruh pegawai. 
d. Kerangka Logis kinerja belum ada. </t>
  </si>
  <si>
    <r>
      <rPr>
        <sz val="12"/>
        <color theme="1"/>
        <rFont val="Bookman Old Style"/>
        <charset val="134"/>
      </rPr>
      <t>1. Dokumen Renstra Unit Eselon I Pembina (untuk UPT). 
2. Dokumen Renstra Unit Kerja. 
3. Dokumen Renja (RKT). 
4. Dokumen RKA-K/L. 
5. Perjanjian Kinerja. 
6. Dokumen SKP (berdasar ketentuan terbaru) 10 orang pegawai  
    dan pejabat (secara berjenjang) yang disetujui dan 
    ditandatangani oleh atasan langsung. 
Keterangan:
TPI memastikan bahwa proses penyusunan Renstra, IKU, IKK, Perjanjian Kinerja dan SKP satuan kerja telah dilakukan secara berjenjang (</t>
    </r>
    <r>
      <rPr>
        <i/>
        <sz val="12"/>
        <color theme="1"/>
        <rFont val="Bookman Old Style"/>
        <charset val="134"/>
      </rPr>
      <t>cascading</t>
    </r>
    <r>
      <rPr>
        <sz val="12"/>
        <color theme="1"/>
        <rFont val="Bookman Old Style"/>
        <charset val="134"/>
      </rPr>
      <t>) dan memastikan bahwa Kinerja Utama Kepala Kanwil atau Kepala Unit Eselon I dijadikan dalam penetapan SKP Pegawai.</t>
    </r>
  </si>
  <si>
    <t>Mekanisme Pengendalian</t>
  </si>
  <si>
    <t>Telah dilakukan mekanisme pengendalian aktivitas secara berjenjang.</t>
  </si>
  <si>
    <t>a. Terdapat pengendalian aktivitas utama 
    organisasi yang tersistem mulai dari 
    perencanaan, penilaian risiko, pelaksanaan, 
    monitoring, dan pelaporan oleh penanggung 
    jawab aktivitas serta pimpinan unit kerja dan 
    telah menghasilkan peningkatan kinerja, 
    mekanise kerja baru yang lebih efektif, 
    efisien, dan terkendali. 
b. Terdapat pengendalian aktivitas utama 
    organisasi yang tersistem mulai dari 
    perencanaan, penilaian risiko, pelaksanaan, 
    monitoring, dan pelaporan oleh penanggung 
    jawab aktivitas serta pimpinan unit kerja 
    namun belum berdampak pada peningkatan 
    kinerja unit kerja.
c. Terdapat pengendalian aktivitas utama 
    organisasi yang tersistem mulai dari 
    perencanaan, penilaian risiko, pelaksanaan, 
    monitoring, dan pelaporan oleh penanggung 
    jawab aktivitas. 
d. Terdapat pengendalian aktivitas utama 
    organisasi tetapi tidak tersistem.
e. Tidak terdapat pengendalian atas aktivitas 
    utama organisasi.</t>
  </si>
  <si>
    <r>
      <rPr>
        <b/>
        <sz val="12"/>
        <color theme="1"/>
        <rFont val="Bookman Old Style"/>
        <charset val="134"/>
      </rPr>
      <t>B03:</t>
    </r>
    <r>
      <rPr>
        <sz val="12"/>
        <color theme="1"/>
        <rFont val="Bookman Old Style"/>
        <charset val="134"/>
      </rPr>
      <t xml:space="preserve">
1. Dokumen Renstra Kementerian.
2. Dokumen Renstra Unit Kerja.
3. Dokumen Perjanjian Kinerja.
4. Manajemen Resiko Satuan Kerja.
</t>
    </r>
    <r>
      <rPr>
        <b/>
        <sz val="12"/>
        <color theme="1"/>
        <rFont val="Bookman Old Style"/>
        <charset val="134"/>
      </rPr>
      <t>B03,B06, B09, B12:</t>
    </r>
    <r>
      <rPr>
        <sz val="12"/>
        <color theme="1"/>
        <rFont val="Bookman Old Style"/>
        <charset val="134"/>
      </rPr>
      <t xml:space="preserve">
1. Laporan SPIP.
2. Laporan Monev SPIP.
</t>
    </r>
    <r>
      <rPr>
        <b/>
        <sz val="12"/>
        <color theme="1"/>
        <rFont val="Bookman Old Style"/>
        <charset val="134"/>
      </rPr>
      <t>B03:</t>
    </r>
    <r>
      <rPr>
        <sz val="12"/>
        <color theme="1"/>
        <rFont val="Bookman Old Style"/>
        <charset val="134"/>
      </rPr>
      <t xml:space="preserve">
LKJIP.
Keterangan:
TPI melakukan penilaian bahwa dalam Dokumen Perjanjian Kinerja, Manajemen Resiko, Laporan SPIP dan Laporan Monev SPIP telah menunjukkan adanya peningkatan kinerja, mekanise baru yang lebih efektif, efisien dan terkendali dalam pelaksanaan kegiatan.
</t>
    </r>
  </si>
  <si>
    <t>Penanganan Pengaduan Masyarakat</t>
  </si>
  <si>
    <t>1. Laporan Penanganan Pengaduan yang ditandatangani oleh 
    Kepala Satuan Kerja yang berisi informasi pengaduan yang 
    diterima oleh satuan kerja, pengaduan yang sudah 
    ditindaklanjuti satuan kerja, dan pengaduan yang belum 
    ditindaklanjuti satuan kerja.
2. Screenshot Aplikasi SP4N-LAPOR yang menampilkan nama 
     satuan kerja.
Keterangan:
TPI melakukan penilaian keabsahan jumlah pengaduan dan tindak lanjut atas pengaduan tersebut.</t>
  </si>
  <si>
    <t>B. Penanganan Pengaduan Masyarakat</t>
  </si>
  <si>
    <t>Persentase penanganan pengaduan masyarakat.</t>
  </si>
  <si>
    <t>Penilaian ini menghitung realisasi penanganan pengaduan masyarakat yang harus diselesaikan.</t>
  </si>
  <si>
    <t>- Jumlah pengaduan masyarakat yang harus ditindaklanjuti</t>
  </si>
  <si>
    <t>- Jumlah pengaduan masyarakat yang sedang diproses</t>
  </si>
  <si>
    <t>- Jumlah pengaduan masyarakat yang  selesai ditindaklanjuti</t>
  </si>
  <si>
    <t>Penyampaian Laporan Harta Kekayaan</t>
  </si>
  <si>
    <t>Kewajiban Penyelenggara Negara untuk melaporkan harta kekayaan diatur dalam: 
1. Undang-Undang No. 28 Tahun 1999
2. Undang-Undang No. 30 Tahun 2002
3. Undang-Undang No. 10 Tahun 2015
4. Peraturan Komisi Pemberantasan Korupsi No. 07 Tahun 2016
5. Instruksi Presiden No. 5 Tahun 2004
6. SE Menteri PANRB No. SE/03/M.PAN/01/2005
7. SE Menteri PANRB No. 2 Tahun 2023</t>
  </si>
  <si>
    <t>Rekapitulasi Laporan LHKPN dan Bukti Lapor LHKPN</t>
  </si>
  <si>
    <t>Penyampaian Laporan Harta Kekayaan Pejabat Negara (LHKPN)</t>
  </si>
  <si>
    <t>Persentase penyampaian LHKPN.</t>
  </si>
  <si>
    <t xml:space="preserve">Laporan Penyampaian LHKPN untuk periode tahun sebelumnya pada Unit Kerja yang berisi rekapitulasi jumlah wajib lapor dan jumlah yang telah menyampaikan LHKPN yang  ditandatangani oleh kepala satuan kerja, disertai bukti lapor.
Keterangan:
TPI melakukan penilaian terhadap seluruh Pejabat/Pegawai yang wajib LHKPN telah menyampaikan LHKPN.
</t>
  </si>
  <si>
    <t xml:space="preserve">a. Penyampaian Laporan Harta Kekayaan Pejabat Negara (LHKPN)	</t>
  </si>
  <si>
    <t>Jumlah yang harus melaporkan</t>
  </si>
  <si>
    <t>- Kepala satuan kerja</t>
  </si>
  <si>
    <t>- Pejabat yang diwajibkan menyampaikan LHKPN</t>
  </si>
  <si>
    <t>- Lainnya</t>
  </si>
  <si>
    <t>Jumlah yang sudah melaporkan</t>
  </si>
  <si>
    <t>Penyampaian Laporan Harta Kekayaan Non LHKPN (Tidak Wajib LHKPN)</t>
  </si>
  <si>
    <t xml:space="preserve">Laporan Penyampaian LHKASN untuk periode tahun sebelumnya Unit Kerja yang berisi rekapitulasi jumlah wajib lapor dan jumlah yang telah menyampaikan LHKASN yang  ditandatangani oleh kepala satuan kerja, disertai bukti lapor.
Keterangan:
TPI melakukan penilaian terhadap seluruh Pejabat/Pegawai yang wajib LHKPN telah menyampaikan LHKPN.
</t>
  </si>
  <si>
    <t>b. Penyampaian Laporan Harta Kekayaan Non LHKPN (Tidak Wajib LHKPN)</t>
  </si>
  <si>
    <t>Persentase penyampaian Non LHKPN</t>
  </si>
  <si>
    <t>Jumlah yang harus melaporkan (tidak wajib LHKPN)</t>
  </si>
  <si>
    <t>- Pejabat administrator (eselon III)</t>
  </si>
  <si>
    <t>- Pejabat Pengawas (eselon IV)</t>
  </si>
  <si>
    <t>- Jumlah Fungsional dan Pelaksana</t>
  </si>
  <si>
    <t>Upaya dan/atau Inovasi Pelayanan Publik</t>
  </si>
  <si>
    <r>
      <rPr>
        <sz val="12"/>
        <color theme="1"/>
        <rFont val="Bookman Old Style"/>
        <charset val="134"/>
      </rPr>
      <t>Upaya dan/atau inovasi telah mendorong perbaikan pelayanan publik pada:
1. Kesesuaian Persyaratan;
2. Kemudahan Sistem, Mekanisme, dan Prosedur;
3. Kecepatan Waktu Penyelesaian;
4. Kejelasan Biaya/Tarif, Gratis;
5. Kualitas Produk Spesifikasi Jenis Pelayanan;
6. Kompetensi Pelaksana/</t>
    </r>
    <r>
      <rPr>
        <i/>
        <sz val="12"/>
        <color theme="1"/>
        <rFont val="Bookman Old Style"/>
        <charset val="134"/>
      </rPr>
      <t>Web;</t>
    </r>
    <r>
      <rPr>
        <sz val="12"/>
        <color theme="1"/>
        <rFont val="Bookman Old Style"/>
        <charset val="134"/>
      </rPr>
      <t xml:space="preserve">
7. Perilaku Pelaksana/</t>
    </r>
    <r>
      <rPr>
        <i/>
        <sz val="12"/>
        <color theme="1"/>
        <rFont val="Bookman Old Style"/>
        <charset val="134"/>
      </rPr>
      <t>Web;</t>
    </r>
    <r>
      <rPr>
        <sz val="12"/>
        <color theme="1"/>
        <rFont val="Bookman Old Style"/>
        <charset val="134"/>
      </rPr>
      <t xml:space="preserve">
8. Kualitas Sarana dan prasarana;
9. Penanganan Pengaduan, Saran dan Masukan.</t>
    </r>
  </si>
  <si>
    <t>a. Upaya dan/atau inovasi yang dilakukan telah 
    mendorong perbaikan seluruh pelayanan 
    publik yang prima (lebih Cepat dan mudah). 
b. Upaya dan/atau inovasi yang dilakukan 
    belum seluruhnya memberikan dampak 
    pada perbaikan pelayanan publik yang prima 
    (Cepat dan mudah).
c. Upaya dan/atau inovasi yang dilakukan 
    belum sesuai kebutuhan. 
d. Belum ada inovasi.</t>
  </si>
  <si>
    <r>
      <rPr>
        <sz val="12"/>
        <color theme="1"/>
        <rFont val="Bookman Old Style"/>
        <charset val="134"/>
      </rPr>
      <t xml:space="preserve">Laporan penerapan inovasi layanan publik pada satuan kerja yang ditandatangani oleh kepala satuan kerja dan berisi informasi:
1. Seluruh jenis layanan yang diselenggarakan satuan kerja 
    (sajikan data layanan);
2. Inovasi layanan atau pengembangan layanan terhadap seluruh 
    jenis layanan yang diselenggarakan seluruh  satker;
3. </t>
    </r>
    <r>
      <rPr>
        <i/>
        <sz val="12"/>
        <color theme="1"/>
        <rFont val="Bookman Old Style"/>
        <charset val="134"/>
      </rPr>
      <t>Impact</t>
    </r>
    <r>
      <rPr>
        <sz val="12"/>
        <color theme="1"/>
        <rFont val="Bookman Old Style"/>
        <charset val="134"/>
      </rPr>
      <t xml:space="preserve"> dari penerapan inovasi tersebut berupa layanan lebih 
    mudah dan cepat (</t>
    </r>
    <r>
      <rPr>
        <i/>
        <sz val="12"/>
        <color theme="1"/>
        <rFont val="Bookman Old Style"/>
        <charset val="134"/>
      </rPr>
      <t>before/after</t>
    </r>
    <r>
      <rPr>
        <sz val="12"/>
        <color theme="1"/>
        <rFont val="Bookman Old Style"/>
        <charset val="134"/>
      </rPr>
      <t xml:space="preserve">) serta mampu mencegah isu 
    strategis, mencegah terjadinya resiko </t>
    </r>
    <r>
      <rPr>
        <i/>
        <sz val="12"/>
        <color theme="1"/>
        <rFont val="Bookman Old Style"/>
        <charset val="134"/>
      </rPr>
      <t>fraud</t>
    </r>
    <r>
      <rPr>
        <sz val="12"/>
        <color theme="1"/>
        <rFont val="Bookman Old Style"/>
        <charset val="134"/>
      </rPr>
      <t xml:space="preserve">, mendorong 
    capaian kinerja utama, penguatan integritas, dan sesuai 
    dengan kebutuhan pengguna layanan.
Keterangan:
TPI melakukan penilaian apakah Inovasi yang disajikan mampu mencegah isu strategis, mencegah terjadinya resiko </t>
    </r>
    <r>
      <rPr>
        <i/>
        <sz val="12"/>
        <color theme="1"/>
        <rFont val="Bookman Old Style"/>
        <charset val="134"/>
      </rPr>
      <t>fraud</t>
    </r>
    <r>
      <rPr>
        <sz val="12"/>
        <color theme="1"/>
        <rFont val="Bookman Old Style"/>
        <charset val="134"/>
      </rPr>
      <t>, mendorong capaian kinerja utama, penguatan integritas, dan sesuai dengan kebutuhan pengguna layanan.</t>
    </r>
  </si>
  <si>
    <t>a. "Upaya dan/atau inovasi telah mendorong perbaikan pelayanan publik pada: 1. Kesesuaian Persyaratan; 2. Kemudahan Sistem, Mekanisme, dan Prosedur; 3. Kecepatan Waktu Penyelesaian; 4. Kejelasan Biaya/Tarif, Gratis; 5. Kualitas Produk Spesifikasi Jenis Pelayanan; 6. Kompetensi Pelaksana/Web; 7. Perilaku Pelaksana/Web; 8. Kualitas Sarana dan prasarana; 9. Penanganan Pengaduan, Saran dan Masukan."</t>
  </si>
  <si>
    <t>Upaya dan/atau inovasi pada perijinan/pelayanan telah dipermudah:
1. Waktu lebih cepat;
2. Pelayanan Publik yang terpadu;
3. Alur lebih pendek/singkat;
4 Terintegrasi dengan aplikasi.</t>
  </si>
  <si>
    <t>Persentase diperoleh dari Jumlah perijinan/pelayanan yang telah dipermudah dibagi dengan Jumlah perijinan/pelayanan yang terdata/terdaftar.</t>
  </si>
  <si>
    <r>
      <rPr>
        <sz val="12"/>
        <color theme="1"/>
        <rFont val="Bookman Old Style"/>
        <charset val="134"/>
      </rPr>
      <t xml:space="preserve">Laporan penerapan inovasi layanan publik pada satuan kerja yang ditandatangani oleh kepala satuan kerja dan berisi informasi:
1. Seluruh jenis layanan yang diselenggarakan satuan kerja 
    (sajikan data layanan);
2. Inovasi layanan atau pengembangan layanan terhadap seluruh 
    jenis layanan yang diselenggarakan seluruh  satker;
3. </t>
    </r>
    <r>
      <rPr>
        <i/>
        <sz val="12"/>
        <color theme="1"/>
        <rFont val="Bookman Old Style"/>
        <charset val="134"/>
      </rPr>
      <t>Impact</t>
    </r>
    <r>
      <rPr>
        <sz val="12"/>
        <color theme="1"/>
        <rFont val="Bookman Old Style"/>
        <charset val="134"/>
      </rPr>
      <t xml:space="preserve"> dari penerapan inovasi tersebut berupa layanan lebih 
    mudah dan cepat </t>
    </r>
    <r>
      <rPr>
        <i/>
        <sz val="12"/>
        <color theme="1"/>
        <rFont val="Bookman Old Style"/>
        <charset val="134"/>
      </rPr>
      <t>(before/after)</t>
    </r>
    <r>
      <rPr>
        <sz val="12"/>
        <color theme="1"/>
        <rFont val="Bookman Old Style"/>
        <charset val="134"/>
      </rPr>
      <t xml:space="preserve"> serta mampu mencegah isu 
    strategis, mencegah terjadinya resiko </t>
    </r>
    <r>
      <rPr>
        <i/>
        <sz val="12"/>
        <color theme="1"/>
        <rFont val="Bookman Old Style"/>
        <charset val="134"/>
      </rPr>
      <t>fraud</t>
    </r>
    <r>
      <rPr>
        <sz val="12"/>
        <color theme="1"/>
        <rFont val="Bookman Old Style"/>
        <charset val="134"/>
      </rPr>
      <t xml:space="preserve">, mendorong 
    capaian kinerja utama, penguatan integritas, dan sesuai 
    dengan kebutuhan pengguna layanan.
Keterangan:
TPI melakukan penilaian apakah Inovasi yang disajikan mampu mencegah isu strategis, mencegah terjadinya resiko </t>
    </r>
    <r>
      <rPr>
        <i/>
        <sz val="12"/>
        <color theme="1"/>
        <rFont val="Bookman Old Style"/>
        <charset val="134"/>
      </rPr>
      <t>fraud</t>
    </r>
    <r>
      <rPr>
        <sz val="12"/>
        <color theme="1"/>
        <rFont val="Bookman Old Style"/>
        <charset val="134"/>
      </rPr>
      <t>, mendorong capaian kinerja utama, penguatan integritas, dan sesuai dengan kebutuhan pengguna layanan.</t>
    </r>
  </si>
  <si>
    <t>b. "Upaya dan/atau inovasi pada perijinan/pelayanan telah dipermudah: 1. Waktu lebih cepat; 2. Pelayanan Publik yang terpadu; 3. Alur lebih pendek/singkat; 4 Terintegrasi dengan aplikasi."</t>
  </si>
  <si>
    <t>- Jumlah perijinan/pelayanan yang terdata/terdaftar</t>
  </si>
  <si>
    <t xml:space="preserve">- Jumlah perijinan/pelayanan yang telah dipermudah </t>
  </si>
  <si>
    <t>Penanganan Pengaduan Pelayanan dan Konsultasi</t>
  </si>
  <si>
    <t>Penanganan pengaduan pelayanan dilakukan melalui berbagai kanal/media secara responsif dan bertanggung jawab.</t>
  </si>
  <si>
    <t>a. Pengaduan pelayanan  dan konsultasi telah 
    direspon dengan cepat melalui berbagai 
    kanal/media.
b. Pengaduan pelayanan dan konsultasi telah 
    direspon dengan cepat melalui kanal/media 
    yang terbatas.
c. Pengaduan pelayanan dan konsultasi 
   direspon lambat melalui berbagai kanal/ 
   media.
d. Pengaduan pelayanan dan konsultasi 
   direspon lambat dan kanal/media terbatas.</t>
  </si>
  <si>
    <r>
      <rPr>
        <sz val="12"/>
        <color theme="1"/>
        <rFont val="Bookman Old Style"/>
        <charset val="134"/>
      </rPr>
      <t xml:space="preserve">1. SK pengelola tim pengaduan dan konsultasi.
2. </t>
    </r>
    <r>
      <rPr>
        <i/>
        <sz val="12"/>
        <color theme="1"/>
        <rFont val="Bookman Old Style"/>
        <charset val="134"/>
      </rPr>
      <t>Capture</t>
    </r>
    <r>
      <rPr>
        <sz val="12"/>
        <color theme="1"/>
        <rFont val="Bookman Old Style"/>
        <charset val="134"/>
      </rPr>
      <t xml:space="preserve"> ruang layanan pengaduan dan petugas pengaduan.
3. </t>
    </r>
    <r>
      <rPr>
        <i/>
        <sz val="12"/>
        <color theme="1"/>
        <rFont val="Bookman Old Style"/>
        <charset val="134"/>
      </rPr>
      <t>Capture</t>
    </r>
    <r>
      <rPr>
        <sz val="12"/>
        <color theme="1"/>
        <rFont val="Bookman Old Style"/>
        <charset val="134"/>
      </rPr>
      <t xml:space="preserve"> media layanan pengaduan selain e-Lapor (seperti 
    </t>
    </r>
    <r>
      <rPr>
        <i/>
        <sz val="12"/>
        <color theme="1"/>
        <rFont val="Bookman Old Style"/>
        <charset val="134"/>
      </rPr>
      <t>Google review</t>
    </r>
    <r>
      <rPr>
        <sz val="12"/>
        <color theme="1"/>
        <rFont val="Bookman Old Style"/>
        <charset val="134"/>
      </rPr>
      <t xml:space="preserve">, WA atau email pengaduan).
4. Laporan penanganan pengaduan (Jika Nihil tetap membuat 
    laporan).
Keterangan:
TPI melakukan penilaian bahwa Pengaduan Layanan dan Konsultasi terkait dengan Layanan Publik telah direspon dengan cepat (tidak lambat) melalui berbagai media kepada masyarakat.
</t>
    </r>
  </si>
  <si>
    <t>Nilai Survey Persepsi Korupsi (Survei Eksternal).</t>
  </si>
  <si>
    <t>Diisi dengan nilai hasil Survei Eksternal atas Persepsi Anti Korupsi (Indeks Persepsi Anti Korupsi / IPAK).</t>
  </si>
  <si>
    <t>Nilai
(0-4)</t>
  </si>
  <si>
    <t>Capture nilai SPAK masing-masing satuan kerja setiap Triwulan menggunakan skala 4 yang diambil dari fitur "dashboard" aplikasi STARApp Survei 3A</t>
  </si>
  <si>
    <t>a. Nilai Survey Persepsi Korupsi (Survei Eksternal).</t>
  </si>
  <si>
    <t>Capaian Kinerja Lebih Baik dari pada Capaian Kinerja Sebelumnya.</t>
  </si>
  <si>
    <t>a. Target kinerja utama tercapai lebih dari 100% 
    dan lebih baik dari capaian kinerja utama 
    tahun sebelumnya serta lebih baik dari 
    capaian kinerja nasional/rata-rata capaian 
    kinerja unit yang sejenis.
b. Target kinerja utama tercapai 100% dan lebih 
    baik dari capaian kinerja utama tahun 
    sebelumnya.
c. Target kinerja utama tercapai 100% atau 
    lebih, namun tidak lebih baik dari capaian 
    kinerja utama tahun sebelumnya.
d. Kinerja utama sudah orientasi hasil akan 
    tetapi masih terdapat target kinerja utama 
    yang tidak tercapai.
e. Kinerja utama tidak berorientasi hasil.</t>
  </si>
  <si>
    <t xml:space="preserve">Dokumen LKj (Laporan Kinerja) mengacu kepada format yang 
ditetapkan dalam Pedoman Menteri IMIPAS No. MIP-OT.02.02-49 Tahun 
2025 tentang Pedoman Penyusunan Laporan Kinerja Instansi 
Pemerintah di lingkungan Kementerian Imigrasi dan 
Pemasyarakatan
Keterangan:
TPI melakukan penilaian realisasi pencapaian sasaran kinerja yang terdapat dalam LKjIP. Pemberian nilai A diberikan apabila Capaian Kinerja satuan kerja 100% lebih baik dari tahun sebelumnya dan lebih baik dari capaian Nasional satuan kerja sejenis.
</t>
  </si>
  <si>
    <t>b. Capaian Kinerja Lebih Baik dari pada Capaian Kinerja Sebelumnya.</t>
  </si>
  <si>
    <t>Nilai Persepsi Kualitas Pelayanan (Survei Eksternal).</t>
  </si>
  <si>
    <t>Diisi dengan Nilai Hasil Survei Eksternal Kualitas Pelayanan (Indeks Persepsi Kualitas Pelayanan/ IPKP).</t>
  </si>
  <si>
    <t>Capture nilai SPKP/SKM masing-masing satuan kerja setiap Triwulan menggunakan skala 4 yang diambil dari fitur "dashboard" aplikasi STARApp Survei 3A</t>
  </si>
  <si>
    <t>NILAI HASIL EVALUASI ZONA INTEGRITAS</t>
  </si>
  <si>
    <t>SI KASEP</t>
  </si>
  <si>
    <t>Jawaban dari Kanwil</t>
  </si>
  <si>
    <t>Nilai dari Kanwil</t>
  </si>
  <si>
    <t>Catatan/Keterangan/Penjelasan
Evaluasi dari Kanwil</t>
  </si>
  <si>
    <t>Tercapai, Dakung yang diminta sudah lengkap</t>
  </si>
  <si>
    <r>
      <rPr>
        <sz val="12"/>
        <color theme="1"/>
        <rFont val="Bookman Old Style"/>
        <charset val="134"/>
      </rPr>
      <t xml:space="preserve">1. </t>
    </r>
    <r>
      <rPr>
        <i/>
        <sz val="12"/>
        <color theme="1"/>
        <rFont val="Bookman Old Style"/>
        <charset val="134"/>
      </rPr>
      <t>Capture</t>
    </r>
    <r>
      <rPr>
        <sz val="12"/>
        <color theme="1"/>
        <rFont val="Bookman Old Style"/>
        <charset val="134"/>
      </rPr>
      <t xml:space="preserve"> penggunaan teknologi/aplikasi 
    pengukuran kinerja.
2. Capture Inovasi terkait sistem pengukuran kinerja 
    pada satuan kerja. (jika ada)
3. Jurnal Harian pegawai yang ditandatangani oleh
    pegawai yang bersangkutan dan atasan langsung. </t>
    </r>
  </si>
  <si>
    <t xml:space="preserve">a. Jika unit kerja mengimplementasikan 
    seluruh kebijakan pengaduan masyarakat 
    sesuai dengan yang ditetapkan organisasi 
    dan juga membuat inovasi terkait pengaduan 
    masyarakat yang sesuai dengan karakteristik 
    unit kerja.
b. Jika unit kerja telah mengimplementasikan 
    seluruh kebijakan pengaduan masyarakat 
    sesuai dengan yang ditetapkan organisasi. 
c. Jika unit kerja belum mengimplementasikan 
    kebijakan pengaduan masyarakat. </t>
  </si>
  <si>
    <t xml:space="preserve">a. Jika penanganan pengaduan masyarakat 
    dimonitoring dan evaluasi secara berkala.
b. Jika penanganan pengaduan masyarakat 
    dimonitoring dan evaluasi tetapi tidak secara 
    berkala.
c. Jika penanganan pengaduan masyarakat 
    belum di monitoring dan evaluasi. </t>
  </si>
  <si>
    <t xml:space="preserve">c. </t>
  </si>
  <si>
    <r>
      <rPr>
        <sz val="12"/>
        <color theme="1"/>
        <rFont val="Bookman Old Style"/>
        <charset val="134"/>
      </rPr>
      <t xml:space="preserve">1. SK Agen Perubahan yang ditetapkan oleh Kepala Satuan Kerja 
    dengan catatan masing-masing Agen Perubahan yang ditunjuk 
    harus memiliki prestasi/kontribusi dalam pembangunan ZI 
    dan satu agen perubahan minimal memiliki satu produk 
    perubahan.
2. Laporan Kontribusi Agen Perubahan yang ditandatangani oleh 
    kepala satuan kerja yang berisi penerapan dari masing-masing 
    produk perubahan.
Keterangan:
TPI melakukan penilaian bahwa setiap Agen Perubahan yang ditunjuk harus memiliki minimal 1 (satu) Proyek Perubahan dan kontribusi dari proyek perubahan tersebut berhubungan dengan Pembangunan ZI menuju WBK dan WBBM, yang terintegrasi dengan Sistem Manajemen pada satuan kerja (tidak termasuk </t>
    </r>
    <r>
      <rPr>
        <i/>
        <sz val="12"/>
        <color theme="1"/>
        <rFont val="Bookman Old Style"/>
        <charset val="134"/>
      </rPr>
      <t>jingle</t>
    </r>
    <r>
      <rPr>
        <sz val="12"/>
        <color theme="1"/>
        <rFont val="Bookman Old Style"/>
        <charset val="134"/>
      </rPr>
      <t>, maskot, jargon)</t>
    </r>
    <r>
      <rPr>
        <sz val="12"/>
        <color theme="1"/>
        <rFont val="Bookman Old Style"/>
        <charset val="134"/>
      </rPr>
      <t>.</t>
    </r>
  </si>
  <si>
    <t>NILAI HASIL EVALUASI ZONA INTEGRITAS DARI KANWIL</t>
  </si>
  <si>
    <t>Jawaban dari Unit Eselon I</t>
  </si>
  <si>
    <t>Nilai dari Unit Eselon I</t>
  </si>
  <si>
    <t>Catatan/Keterangan/Penjelasan
Evaluasi dari Unit Eselon I</t>
  </si>
  <si>
    <t xml:space="preserve">a. Jika unit kerja telah mengimplementasikan 
    seluruh aturan disiplin/kode etik/kode 
    perilaku yang ditetapkan organisasi dan 
    juga membuat inovasi terkait aturan  
    disiplin/kodeetik/kode perilaku yang sesuai 
    dengan karakteristik unit kerja.
b. Jika unit kerja telah mengimplementasikan 
    seluruh aturan disiplin/kode etik/kode 
    perilaku yang ditetapkan organisasi. 
c. Jika unit kerja telah mengimplementasikan 
    sebagian aturan disiplin/kode etik/kode 
    perilaku yang ditetapkan organisasi. 
d. Jika unit kerja belum mengimplementasikan 
    aturan disiplin/kode etik/kode perilaku 
    yang ditetapkan organisasi. </t>
  </si>
  <si>
    <t>NILAI HASIL EVALUASI ZONA INTEGRITAS DARI UNIT ESELON I</t>
  </si>
  <si>
    <t>Langkah-Langkah Pengisian</t>
  </si>
  <si>
    <t>Masuk sheet "Utama", lalu pilih WBK atau WBBM</t>
  </si>
  <si>
    <t>Unit/Satker yang melakukan pembangunan ZI mengisi cell yang berwarna ini --&gt;</t>
  </si>
  <si>
    <t>, yang terletak pada sheet "Jawaban"</t>
  </si>
  <si>
    <t>Kanwil melakukan penilaian pendahuluan dengan mengisi cell yang berwarna ini --&gt;</t>
  </si>
  <si>
    <t>, yang terletak pada sheet "Jawaban dari Kanwil"</t>
  </si>
  <si>
    <t>Unit Eselon I melakukan penilaian pendahuluan dengan mengisi cell yang berwarna ini --&gt;</t>
  </si>
  <si>
    <t>, yang terletak pada sheet "Jawaban dari Unit Eselon I"</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</si>
</sst>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_(* #,##0.00_);_(* \(#,##0.00\);_(* &quot;-&quot;_);_(@_)"/>
  </numFmts>
  <fonts count="53">
    <font>
      <sz val="11"/>
      <color theme="1"/>
      <name val="Calibri"/>
      <charset val="134"/>
      <scheme val="minor"/>
    </font>
    <font>
      <b/>
      <sz val="13"/>
      <color theme="1"/>
      <name val="Calibri"/>
      <charset val="134"/>
      <scheme val="minor"/>
    </font>
    <font>
      <sz val="14"/>
      <color theme="1"/>
      <name val="Calibri"/>
      <charset val="134"/>
    </font>
    <font>
      <b/>
      <sz val="14"/>
      <color rgb="FF000000"/>
      <name val="Bookman Old Style"/>
      <charset val="134"/>
    </font>
    <font>
      <sz val="11"/>
      <name val="Calibri"/>
      <charset val="134"/>
      <scheme val="minor"/>
    </font>
    <font>
      <sz val="11"/>
      <color theme="1"/>
      <name val="Calibri"/>
      <charset val="134"/>
    </font>
    <font>
      <b/>
      <sz val="14"/>
      <color theme="1"/>
      <name val="Bookman Old Style"/>
      <charset val="134"/>
    </font>
    <font>
      <b/>
      <sz val="12"/>
      <color rgb="FF000000"/>
      <name val="Bookman Old Style"/>
      <charset val="134"/>
    </font>
    <font>
      <b/>
      <sz val="12"/>
      <color theme="1"/>
      <name val="Bookman Old Style"/>
      <charset val="134"/>
    </font>
    <font>
      <sz val="12"/>
      <color theme="1"/>
      <name val="Bookman Old Style"/>
      <charset val="134"/>
    </font>
    <font>
      <sz val="11"/>
      <color theme="1"/>
      <name val="Bookman Old Style"/>
      <charset val="134"/>
    </font>
    <font>
      <u/>
      <sz val="12"/>
      <color theme="1"/>
      <name val="Bookman Old Style"/>
      <charset val="134"/>
    </font>
    <font>
      <sz val="12"/>
      <color theme="1"/>
      <name val="Arial"/>
      <charset val="134"/>
    </font>
    <font>
      <sz val="13"/>
      <color theme="1"/>
      <name val="Bookman Old Style"/>
      <charset val="134"/>
    </font>
    <font>
      <b/>
      <i/>
      <sz val="12"/>
      <color theme="1"/>
      <name val="Bookman Old Style"/>
      <charset val="134"/>
    </font>
    <font>
      <sz val="12"/>
      <color theme="1"/>
      <name val="Calibri"/>
      <charset val="134"/>
    </font>
    <font>
      <b/>
      <sz val="13"/>
      <color theme="1"/>
      <name val="Bookman Old Style"/>
      <charset val="134"/>
    </font>
    <font>
      <sz val="11"/>
      <color rgb="FF000000"/>
      <name val="Calibri"/>
      <charset val="134"/>
    </font>
    <font>
      <b/>
      <sz val="11"/>
      <color rgb="FF000000"/>
      <name val="Calibri"/>
      <charset val="134"/>
    </font>
    <font>
      <sz val="12"/>
      <color rgb="FF000000"/>
      <name val="Bookman Old Style"/>
      <charset val="134"/>
    </font>
    <font>
      <b/>
      <sz val="18"/>
      <color rgb="FFFFFFFF"/>
      <name val="Bookman Old Style"/>
      <charset val="134"/>
    </font>
    <font>
      <b/>
      <sz val="18"/>
      <color rgb="FF000000"/>
      <name val="Bookman Old Style"/>
      <charset val="134"/>
    </font>
    <font>
      <b/>
      <i/>
      <sz val="12"/>
      <color rgb="FF000000"/>
      <name val="Bookman Old Style"/>
      <charset val="134"/>
    </font>
    <font>
      <u/>
      <sz val="12"/>
      <color rgb="FF000000"/>
      <name val="Bookman Old Style"/>
      <charset val="134"/>
    </font>
    <font>
      <u/>
      <sz val="13"/>
      <color rgb="FF000000"/>
      <name val="Bookman Old Style"/>
      <charset val="134"/>
    </font>
    <font>
      <u/>
      <sz val="13"/>
      <color theme="1"/>
      <name val="Bookman Old Style"/>
      <charset val="134"/>
    </font>
    <font>
      <u/>
      <sz val="11"/>
      <color rgb="FF000000"/>
      <name val="Arial"/>
      <charset val="134"/>
    </font>
    <font>
      <u/>
      <sz val="11"/>
      <color rgb="FF000000"/>
      <name val="Calibri"/>
      <charset val="134"/>
    </font>
    <font>
      <sz val="16"/>
      <color theme="1"/>
      <name val="Calibri"/>
      <charset val="134"/>
    </font>
    <font>
      <b/>
      <sz val="16"/>
      <color rgb="FF000000"/>
      <name val="Bookman Old Style"/>
      <charset val="134"/>
    </font>
    <font>
      <b/>
      <sz val="16"/>
      <color rgb="FFFFFFFF"/>
      <name val="Bookman Old Style"/>
      <charset val="134"/>
    </font>
    <font>
      <sz val="14"/>
      <color theme="1"/>
      <name val="Bookman Old Style"/>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12"/>
      <color theme="1"/>
      <name val="Bookman Old Style"/>
      <charset val="134"/>
    </font>
    <font>
      <sz val="12"/>
      <color rgb="FFFF0000"/>
      <name val="Bookman Old Style"/>
      <charset val="134"/>
    </font>
  </fonts>
  <fills count="48">
    <fill>
      <patternFill patternType="none"/>
    </fill>
    <fill>
      <patternFill patternType="gray125"/>
    </fill>
    <fill>
      <patternFill patternType="solid">
        <fgColor rgb="FFDAEEF3"/>
        <bgColor rgb="FFDAEEF3"/>
      </patternFill>
    </fill>
    <fill>
      <patternFill patternType="solid">
        <fgColor rgb="FFD9EAD3"/>
        <bgColor rgb="FFD9EAD3"/>
      </patternFill>
    </fill>
    <fill>
      <patternFill patternType="solid">
        <fgColor rgb="FFEAD1DC"/>
        <bgColor rgb="FFEAD1DC"/>
      </patternFill>
    </fill>
    <fill>
      <patternFill patternType="solid">
        <fgColor rgb="FFF6B26B"/>
        <bgColor rgb="FFF6B26B"/>
      </patternFill>
    </fill>
    <fill>
      <patternFill patternType="solid">
        <fgColor rgb="FFFFFFFF"/>
        <bgColor rgb="FFFFFFFF"/>
      </patternFill>
    </fill>
    <fill>
      <patternFill patternType="solid">
        <fgColor theme="0"/>
        <bgColor theme="0"/>
      </patternFill>
    </fill>
    <fill>
      <patternFill patternType="solid">
        <fgColor theme="1"/>
        <bgColor theme="1"/>
      </patternFill>
    </fill>
    <fill>
      <patternFill patternType="solid">
        <fgColor rgb="FF00FF00"/>
        <bgColor rgb="FF00FF00"/>
      </patternFill>
    </fill>
    <fill>
      <patternFill patternType="solid">
        <fgColor rgb="FFB6D7A8"/>
        <bgColor rgb="FFB6D7A8"/>
      </patternFill>
    </fill>
    <fill>
      <patternFill patternType="solid">
        <fgColor rgb="FFFFFF00"/>
        <bgColor rgb="FFFFFF00"/>
      </patternFill>
    </fill>
    <fill>
      <patternFill patternType="solid">
        <fgColor rgb="FF44546A"/>
        <bgColor rgb="FF44546A"/>
      </patternFill>
    </fill>
    <fill>
      <patternFill patternType="solid">
        <fgColor rgb="FF8497B0"/>
        <bgColor rgb="FF8497B0"/>
      </patternFill>
    </fill>
    <fill>
      <patternFill patternType="solid">
        <fgColor rgb="FF8497AF"/>
        <bgColor rgb="FF8497AF"/>
      </patternFill>
    </fill>
    <fill>
      <patternFill patternType="solid">
        <fgColor rgb="FF8DB3E2"/>
        <bgColor rgb="FF8DB3E2"/>
      </patternFill>
    </fill>
    <fill>
      <patternFill patternType="solid">
        <fgColor rgb="FF8CB5E2"/>
        <bgColor rgb="FF8CB5E2"/>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top/>
      <bottom/>
      <diagonal/>
    </border>
    <border>
      <left/>
      <right/>
      <top style="thin">
        <color rgb="FF000000"/>
      </top>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0" fillId="17" borderId="13" applyNumberFormat="0" applyFont="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14" applyNumberFormat="0" applyFill="0" applyAlignment="0" applyProtection="0">
      <alignment vertical="center"/>
    </xf>
    <xf numFmtId="0" fontId="38" fillId="0" borderId="14" applyNumberFormat="0" applyFill="0" applyAlignment="0" applyProtection="0">
      <alignment vertical="center"/>
    </xf>
    <xf numFmtId="0" fontId="39" fillId="0" borderId="15" applyNumberFormat="0" applyFill="0" applyAlignment="0" applyProtection="0">
      <alignment vertical="center"/>
    </xf>
    <xf numFmtId="0" fontId="39" fillId="0" borderId="0" applyNumberFormat="0" applyFill="0" applyBorder="0" applyAlignment="0" applyProtection="0">
      <alignment vertical="center"/>
    </xf>
    <xf numFmtId="0" fontId="40" fillId="18" borderId="16" applyNumberFormat="0" applyAlignment="0" applyProtection="0">
      <alignment vertical="center"/>
    </xf>
    <xf numFmtId="0" fontId="41" fillId="19" borderId="17" applyNumberFormat="0" applyAlignment="0" applyProtection="0">
      <alignment vertical="center"/>
    </xf>
    <xf numFmtId="0" fontId="42" fillId="19" borderId="16" applyNumberFormat="0" applyAlignment="0" applyProtection="0">
      <alignment vertical="center"/>
    </xf>
    <xf numFmtId="0" fontId="43" fillId="20" borderId="18" applyNumberFormat="0" applyAlignment="0" applyProtection="0">
      <alignment vertical="center"/>
    </xf>
    <xf numFmtId="0" fontId="44" fillId="0" borderId="19" applyNumberFormat="0" applyFill="0" applyAlignment="0" applyProtection="0">
      <alignment vertical="center"/>
    </xf>
    <xf numFmtId="0" fontId="45" fillId="0" borderId="20" applyNumberFormat="0" applyFill="0" applyAlignment="0" applyProtection="0">
      <alignment vertical="center"/>
    </xf>
    <xf numFmtId="0" fontId="46" fillId="21" borderId="0" applyNumberFormat="0" applyBorder="0" applyAlignment="0" applyProtection="0">
      <alignment vertical="center"/>
    </xf>
    <xf numFmtId="0" fontId="47" fillId="22" borderId="0" applyNumberFormat="0" applyBorder="0" applyAlignment="0" applyProtection="0">
      <alignment vertical="center"/>
    </xf>
    <xf numFmtId="0" fontId="48" fillId="23" borderId="0" applyNumberFormat="0" applyBorder="0" applyAlignment="0" applyProtection="0">
      <alignment vertical="center"/>
    </xf>
    <xf numFmtId="0" fontId="49" fillId="24" borderId="0" applyNumberFormat="0" applyBorder="0" applyAlignment="0" applyProtection="0">
      <alignment vertical="center"/>
    </xf>
    <xf numFmtId="0" fontId="50" fillId="25" borderId="0" applyNumberFormat="0" applyBorder="0" applyAlignment="0" applyProtection="0">
      <alignment vertical="center"/>
    </xf>
    <xf numFmtId="0" fontId="50" fillId="26" borderId="0" applyNumberFormat="0" applyBorder="0" applyAlignment="0" applyProtection="0">
      <alignment vertical="center"/>
    </xf>
    <xf numFmtId="0" fontId="49" fillId="27" borderId="0" applyNumberFormat="0" applyBorder="0" applyAlignment="0" applyProtection="0">
      <alignment vertical="center"/>
    </xf>
    <xf numFmtId="0" fontId="49" fillId="28" borderId="0" applyNumberFormat="0" applyBorder="0" applyAlignment="0" applyProtection="0">
      <alignment vertical="center"/>
    </xf>
    <xf numFmtId="0" fontId="50" fillId="29" borderId="0" applyNumberFormat="0" applyBorder="0" applyAlignment="0" applyProtection="0">
      <alignment vertical="center"/>
    </xf>
    <xf numFmtId="0" fontId="50" fillId="30" borderId="0" applyNumberFormat="0" applyBorder="0" applyAlignment="0" applyProtection="0">
      <alignment vertical="center"/>
    </xf>
    <xf numFmtId="0" fontId="49" fillId="31" borderId="0" applyNumberFormat="0" applyBorder="0" applyAlignment="0" applyProtection="0">
      <alignment vertical="center"/>
    </xf>
    <xf numFmtId="0" fontId="49" fillId="32" borderId="0" applyNumberFormat="0" applyBorder="0" applyAlignment="0" applyProtection="0">
      <alignment vertical="center"/>
    </xf>
    <xf numFmtId="0" fontId="50" fillId="33" borderId="0" applyNumberFormat="0" applyBorder="0" applyAlignment="0" applyProtection="0">
      <alignment vertical="center"/>
    </xf>
    <xf numFmtId="0" fontId="50" fillId="34" borderId="0" applyNumberFormat="0" applyBorder="0" applyAlignment="0" applyProtection="0">
      <alignment vertical="center"/>
    </xf>
    <xf numFmtId="0" fontId="49" fillId="35" borderId="0" applyNumberFormat="0" applyBorder="0" applyAlignment="0" applyProtection="0">
      <alignment vertical="center"/>
    </xf>
    <xf numFmtId="0" fontId="49" fillId="36" borderId="0" applyNumberFormat="0" applyBorder="0" applyAlignment="0" applyProtection="0">
      <alignment vertical="center"/>
    </xf>
    <xf numFmtId="0" fontId="50" fillId="37" borderId="0" applyNumberFormat="0" applyBorder="0" applyAlignment="0" applyProtection="0">
      <alignment vertical="center"/>
    </xf>
    <xf numFmtId="0" fontId="50" fillId="38" borderId="0" applyNumberFormat="0" applyBorder="0" applyAlignment="0" applyProtection="0">
      <alignment vertical="center"/>
    </xf>
    <xf numFmtId="0" fontId="49" fillId="39" borderId="0" applyNumberFormat="0" applyBorder="0" applyAlignment="0" applyProtection="0">
      <alignment vertical="center"/>
    </xf>
    <xf numFmtId="0" fontId="49" fillId="40" borderId="0" applyNumberFormat="0" applyBorder="0" applyAlignment="0" applyProtection="0">
      <alignment vertical="center"/>
    </xf>
    <xf numFmtId="0" fontId="50" fillId="41" borderId="0" applyNumberFormat="0" applyBorder="0" applyAlignment="0" applyProtection="0">
      <alignment vertical="center"/>
    </xf>
    <xf numFmtId="0" fontId="50" fillId="42" borderId="0" applyNumberFormat="0" applyBorder="0" applyAlignment="0" applyProtection="0">
      <alignment vertical="center"/>
    </xf>
    <xf numFmtId="0" fontId="49" fillId="43" borderId="0" applyNumberFormat="0" applyBorder="0" applyAlignment="0" applyProtection="0">
      <alignment vertical="center"/>
    </xf>
    <xf numFmtId="0" fontId="49" fillId="44" borderId="0" applyNumberFormat="0" applyBorder="0" applyAlignment="0" applyProtection="0">
      <alignment vertical="center"/>
    </xf>
    <xf numFmtId="0" fontId="50" fillId="45" borderId="0" applyNumberFormat="0" applyBorder="0" applyAlignment="0" applyProtection="0">
      <alignment vertical="center"/>
    </xf>
    <xf numFmtId="0" fontId="50" fillId="46" borderId="0" applyNumberFormat="0" applyBorder="0" applyAlignment="0" applyProtection="0">
      <alignment vertical="center"/>
    </xf>
    <xf numFmtId="0" fontId="49" fillId="47" borderId="0" applyNumberFormat="0" applyBorder="0" applyAlignment="0" applyProtection="0">
      <alignment vertical="center"/>
    </xf>
  </cellStyleXfs>
  <cellXfs count="319">
    <xf numFmtId="0" fontId="0" fillId="0" borderId="0" xfId="0" applyFont="1" applyAlignment="1"/>
    <xf numFmtId="0" fontId="1" fillId="0" borderId="0" xfId="0" applyFont="1" applyAlignment="1"/>
    <xf numFmtId="0" fontId="0" fillId="2" borderId="0" xfId="0" applyFont="1" applyFill="1"/>
    <xf numFmtId="0" fontId="0" fillId="3" borderId="0" xfId="0" applyFont="1" applyFill="1"/>
    <xf numFmtId="0" fontId="0" fillId="4" borderId="0" xfId="0" applyFont="1" applyFill="1"/>
    <xf numFmtId="0" fontId="2" fillId="0" borderId="0" xfId="0" applyFont="1"/>
    <xf numFmtId="0" fontId="3" fillId="5" borderId="1" xfId="0" applyFont="1" applyFill="1" applyBorder="1" applyAlignment="1">
      <alignment horizontal="center" vertical="center" wrapText="1"/>
    </xf>
    <xf numFmtId="0" fontId="4" fillId="0" borderId="2" xfId="0" applyFont="1" applyBorder="1"/>
    <xf numFmtId="0" fontId="4" fillId="0" borderId="3" xfId="0" applyFont="1" applyBorder="1"/>
    <xf numFmtId="2" fontId="3" fillId="5" borderId="4" xfId="0" applyNumberFormat="1" applyFont="1" applyFill="1" applyBorder="1" applyAlignment="1">
      <alignment horizontal="center" vertical="center" wrapText="1"/>
    </xf>
    <xf numFmtId="0" fontId="3" fillId="5" borderId="4" xfId="0" applyFont="1" applyFill="1" applyBorder="1" applyAlignment="1">
      <alignment horizontal="center" vertical="center" wrapText="1"/>
    </xf>
    <xf numFmtId="10" fontId="3" fillId="5" borderId="4" xfId="0" applyNumberFormat="1" applyFont="1" applyFill="1" applyBorder="1" applyAlignment="1">
      <alignment horizontal="center" vertical="center" wrapText="1"/>
    </xf>
    <xf numFmtId="0" fontId="5" fillId="0" borderId="0" xfId="0" applyFont="1"/>
    <xf numFmtId="0" fontId="3" fillId="0" borderId="4" xfId="0" applyFont="1" applyBorder="1" applyAlignment="1">
      <alignment vertical="top" wrapText="1"/>
    </xf>
    <xf numFmtId="0" fontId="6" fillId="0" borderId="4" xfId="0" applyFont="1" applyBorder="1" applyAlignment="1">
      <alignment vertical="top"/>
    </xf>
    <xf numFmtId="0" fontId="6" fillId="0" borderId="4" xfId="0" applyFont="1" applyBorder="1" applyAlignment="1">
      <alignment vertical="top" wrapText="1"/>
    </xf>
    <xf numFmtId="2" fontId="3" fillId="0" borderId="4" xfId="0" applyNumberFormat="1" applyFont="1" applyBorder="1" applyAlignment="1">
      <alignment horizontal="center" vertical="center" wrapText="1"/>
    </xf>
    <xf numFmtId="2" fontId="3" fillId="0" borderId="4" xfId="0" applyNumberFormat="1" applyFont="1" applyBorder="1" applyAlignment="1">
      <alignment horizontal="center" vertical="top" wrapText="1"/>
    </xf>
    <xf numFmtId="10" fontId="3" fillId="0" borderId="4" xfId="0" applyNumberFormat="1" applyFont="1" applyBorder="1" applyAlignment="1">
      <alignment horizontal="center" vertical="center" wrapText="1"/>
    </xf>
    <xf numFmtId="0" fontId="3" fillId="0" borderId="4" xfId="0" applyFont="1" applyBorder="1" applyAlignment="1">
      <alignment horizontal="left" vertical="top" wrapText="1"/>
    </xf>
    <xf numFmtId="0" fontId="6" fillId="0" borderId="4" xfId="0" applyFont="1" applyBorder="1" applyAlignment="1">
      <alignment horizontal="center" vertical="top" wrapText="1"/>
    </xf>
    <xf numFmtId="0" fontId="6" fillId="0" borderId="4" xfId="0" applyFont="1" applyBorder="1" applyAlignment="1">
      <alignment horizontal="center" vertical="top"/>
    </xf>
    <xf numFmtId="2" fontId="6" fillId="0" borderId="4" xfId="0" applyNumberFormat="1" applyFont="1" applyBorder="1" applyAlignment="1">
      <alignment horizontal="center" vertical="center" wrapText="1"/>
    </xf>
    <xf numFmtId="2" fontId="6" fillId="0" borderId="4" xfId="0" applyNumberFormat="1" applyFont="1" applyBorder="1" applyAlignment="1">
      <alignment horizontal="center" vertical="top" wrapText="1"/>
    </xf>
    <xf numFmtId="10" fontId="6" fillId="0" borderId="4" xfId="0" applyNumberFormat="1" applyFont="1" applyBorder="1" applyAlignment="1">
      <alignment horizontal="center" vertical="center" wrapText="1"/>
    </xf>
    <xf numFmtId="0" fontId="6" fillId="0" borderId="4" xfId="0" applyFont="1" applyBorder="1" applyAlignment="1">
      <alignment horizontal="left" vertical="top" wrapText="1"/>
    </xf>
    <xf numFmtId="0" fontId="7" fillId="0" borderId="4" xfId="0" applyFont="1" applyBorder="1" applyAlignment="1">
      <alignment vertical="top" wrapText="1"/>
    </xf>
    <xf numFmtId="1" fontId="7" fillId="0" borderId="4" xfId="0" applyNumberFormat="1" applyFont="1" applyBorder="1" applyAlignment="1">
      <alignment horizontal="center" vertical="top"/>
    </xf>
    <xf numFmtId="49" fontId="8" fillId="0" borderId="4" xfId="0" applyNumberFormat="1" applyFont="1" applyBorder="1" applyAlignment="1">
      <alignment horizontal="center" vertical="top"/>
    </xf>
    <xf numFmtId="0" fontId="8" fillId="0" borderId="4" xfId="0" applyFont="1" applyBorder="1" applyAlignment="1">
      <alignment vertical="top"/>
    </xf>
    <xf numFmtId="0" fontId="8" fillId="0" borderId="4" xfId="0" applyFont="1" applyBorder="1" applyAlignment="1">
      <alignment vertical="top" wrapText="1"/>
    </xf>
    <xf numFmtId="2" fontId="7" fillId="0" borderId="4" xfId="0" applyNumberFormat="1" applyFont="1" applyBorder="1" applyAlignment="1">
      <alignment horizontal="center" vertical="center" wrapText="1"/>
    </xf>
    <xf numFmtId="2" fontId="7" fillId="0" borderId="4" xfId="0" applyNumberFormat="1" applyFont="1" applyBorder="1" applyAlignment="1">
      <alignment horizontal="left" vertical="top" wrapText="1"/>
    </xf>
    <xf numFmtId="10" fontId="7" fillId="0" borderId="4" xfId="0" applyNumberFormat="1" applyFont="1" applyBorder="1" applyAlignment="1">
      <alignment horizontal="center" vertical="center" wrapText="1"/>
    </xf>
    <xf numFmtId="0" fontId="7" fillId="0" borderId="4" xfId="0" applyFont="1" applyBorder="1" applyAlignment="1">
      <alignment horizontal="left" vertical="top" wrapText="1"/>
    </xf>
    <xf numFmtId="0" fontId="8" fillId="0" borderId="4" xfId="0" applyFont="1" applyBorder="1" applyAlignment="1">
      <alignment horizontal="center" vertical="top"/>
    </xf>
    <xf numFmtId="2" fontId="8" fillId="0" borderId="4" xfId="0" applyNumberFormat="1" applyFont="1" applyBorder="1" applyAlignment="1">
      <alignment horizontal="center" vertical="center" wrapText="1"/>
    </xf>
    <xf numFmtId="2" fontId="8" fillId="0" borderId="4" xfId="0" applyNumberFormat="1" applyFont="1" applyBorder="1" applyAlignment="1">
      <alignment horizontal="center" vertical="top" wrapText="1"/>
    </xf>
    <xf numFmtId="10" fontId="8" fillId="0" borderId="4" xfId="0" applyNumberFormat="1" applyFont="1" applyBorder="1" applyAlignment="1">
      <alignment horizontal="center" vertical="center" wrapText="1"/>
    </xf>
    <xf numFmtId="0" fontId="8" fillId="0" borderId="4" xfId="0" applyFont="1" applyBorder="1" applyAlignment="1">
      <alignment horizontal="left" vertical="top" wrapText="1"/>
    </xf>
    <xf numFmtId="0" fontId="9" fillId="0" borderId="4" xfId="0" applyFont="1" applyBorder="1" applyAlignment="1">
      <alignment horizontal="center" vertical="top"/>
    </xf>
    <xf numFmtId="0" fontId="9" fillId="0" borderId="4" xfId="0" applyFont="1" applyBorder="1" applyAlignment="1">
      <alignment vertical="top" wrapText="1"/>
    </xf>
    <xf numFmtId="2" fontId="9" fillId="0" borderId="4" xfId="0" applyNumberFormat="1" applyFont="1" applyBorder="1" applyAlignment="1">
      <alignment horizontal="center" vertical="center" wrapText="1"/>
    </xf>
    <xf numFmtId="0" fontId="9" fillId="0" borderId="4" xfId="0" applyFont="1" applyBorder="1" applyAlignment="1">
      <alignment horizontal="left" vertical="center" wrapText="1"/>
    </xf>
    <xf numFmtId="0" fontId="9" fillId="0" borderId="4" xfId="0" applyFont="1" applyBorder="1" applyAlignment="1">
      <alignment horizontal="center" vertical="center" wrapText="1"/>
    </xf>
    <xf numFmtId="0" fontId="10" fillId="6" borderId="0" xfId="0" applyFont="1" applyFill="1" applyBorder="1" applyAlignment="1">
      <alignment horizontal="left" vertical="top" wrapText="1"/>
    </xf>
    <xf numFmtId="0" fontId="9" fillId="4" borderId="4" xfId="0" applyFont="1" applyFill="1" applyBorder="1" applyAlignment="1">
      <alignment horizontal="center" vertical="center" wrapText="1"/>
    </xf>
    <xf numFmtId="2" fontId="5" fillId="0" borderId="4" xfId="0" applyNumberFormat="1" applyFont="1" applyBorder="1" applyAlignment="1">
      <alignment horizontal="center" vertical="center" wrapText="1"/>
    </xf>
    <xf numFmtId="10" fontId="9" fillId="0" borderId="4" xfId="0" applyNumberFormat="1" applyFont="1" applyBorder="1" applyAlignment="1">
      <alignment horizontal="center" vertical="center"/>
    </xf>
    <xf numFmtId="0" fontId="9" fillId="4" borderId="4" xfId="0" applyFont="1" applyFill="1" applyBorder="1" applyAlignment="1">
      <alignment vertical="top" wrapText="1"/>
    </xf>
    <xf numFmtId="0" fontId="11" fillId="0" borderId="4" xfId="0" applyFont="1" applyBorder="1" applyAlignment="1">
      <alignment horizontal="left" vertical="top" wrapText="1"/>
    </xf>
    <xf numFmtId="0" fontId="9" fillId="0" borderId="4" xfId="0" applyFont="1" applyBorder="1" applyAlignment="1">
      <alignment horizontal="left" vertical="top" wrapText="1"/>
    </xf>
    <xf numFmtId="0" fontId="10" fillId="6" borderId="4" xfId="0" applyFont="1" applyFill="1" applyBorder="1" applyAlignment="1">
      <alignment horizontal="left" vertical="top" wrapText="1"/>
    </xf>
    <xf numFmtId="0" fontId="9" fillId="4" borderId="5" xfId="0" applyFont="1" applyFill="1" applyBorder="1" applyAlignment="1">
      <alignment vertical="top"/>
    </xf>
    <xf numFmtId="0" fontId="5" fillId="0" borderId="4" xfId="0" applyFont="1" applyBorder="1" applyAlignment="1">
      <alignment horizontal="left" vertical="top" wrapText="1"/>
    </xf>
    <xf numFmtId="2" fontId="5" fillId="0" borderId="4" xfId="0" applyNumberFormat="1" applyFont="1" applyBorder="1" applyAlignment="1">
      <alignment vertical="top"/>
    </xf>
    <xf numFmtId="0" fontId="10" fillId="0" borderId="4" xfId="0" applyFont="1" applyBorder="1" applyAlignment="1">
      <alignment horizontal="left" vertical="top" wrapText="1"/>
    </xf>
    <xf numFmtId="0" fontId="9" fillId="4" borderId="4" xfId="0" applyFont="1" applyFill="1" applyBorder="1" applyAlignment="1">
      <alignment vertical="top"/>
    </xf>
    <xf numFmtId="0" fontId="12" fillId="0" borderId="4" xfId="0" applyFont="1" applyBorder="1" applyAlignment="1">
      <alignment vertical="top" wrapText="1"/>
    </xf>
    <xf numFmtId="0" fontId="9" fillId="0" borderId="4" xfId="0" applyFont="1" applyBorder="1" applyAlignment="1">
      <alignment horizontal="center" vertical="center"/>
    </xf>
    <xf numFmtId="0" fontId="5" fillId="0" borderId="6" xfId="0" applyFont="1" applyBorder="1"/>
    <xf numFmtId="0" fontId="7" fillId="0" borderId="4" xfId="0" applyFont="1" applyBorder="1" applyAlignment="1">
      <alignment horizontal="center" vertical="top"/>
    </xf>
    <xf numFmtId="0" fontId="5" fillId="7" borderId="0" xfId="0" applyFont="1" applyFill="1" applyBorder="1"/>
    <xf numFmtId="0" fontId="8" fillId="7" borderId="4" xfId="0" applyFont="1" applyFill="1" applyBorder="1" applyAlignment="1">
      <alignment vertical="top"/>
    </xf>
    <xf numFmtId="0" fontId="8" fillId="7" borderId="4" xfId="0" applyFont="1" applyFill="1" applyBorder="1" applyAlignment="1">
      <alignment horizontal="center" vertical="top"/>
    </xf>
    <xf numFmtId="0" fontId="9" fillId="7" borderId="4" xfId="0" applyFont="1" applyFill="1" applyBorder="1" applyAlignment="1">
      <alignment horizontal="center" vertical="top"/>
    </xf>
    <xf numFmtId="0" fontId="9" fillId="7" borderId="4" xfId="0" applyFont="1" applyFill="1" applyBorder="1" applyAlignment="1">
      <alignment vertical="top" wrapText="1"/>
    </xf>
    <xf numFmtId="2" fontId="9" fillId="7" borderId="4" xfId="0" applyNumberFormat="1" applyFont="1" applyFill="1" applyBorder="1" applyAlignment="1">
      <alignment horizontal="center" vertical="center" wrapText="1"/>
    </xf>
    <xf numFmtId="0" fontId="9" fillId="7" borderId="4" xfId="0" applyFont="1" applyFill="1" applyBorder="1" applyAlignment="1">
      <alignment horizontal="left" vertical="top" wrapText="1"/>
    </xf>
    <xf numFmtId="0" fontId="9" fillId="7" borderId="4" xfId="0" applyFont="1" applyFill="1" applyBorder="1" applyAlignment="1">
      <alignment horizontal="center" vertical="center"/>
    </xf>
    <xf numFmtId="0" fontId="10" fillId="7" borderId="4" xfId="0" applyFont="1" applyFill="1" applyBorder="1" applyAlignment="1">
      <alignment horizontal="left" vertical="top" wrapText="1"/>
    </xf>
    <xf numFmtId="0" fontId="9" fillId="4" borderId="4" xfId="0" applyFont="1" applyFill="1" applyBorder="1" applyAlignment="1">
      <alignment horizontal="left" vertical="top" wrapText="1"/>
    </xf>
    <xf numFmtId="0" fontId="9" fillId="4" borderId="4" xfId="0" applyFont="1" applyFill="1" applyBorder="1" applyAlignment="1">
      <alignment horizontal="left" vertical="top"/>
    </xf>
    <xf numFmtId="0" fontId="5" fillId="6" borderId="4" xfId="0" applyFont="1" applyFill="1" applyBorder="1" applyAlignment="1">
      <alignment horizontal="left" vertical="top" wrapText="1"/>
    </xf>
    <xf numFmtId="0" fontId="9" fillId="4" borderId="5" xfId="0" applyFont="1" applyFill="1" applyBorder="1" applyAlignment="1">
      <alignment vertical="top" wrapText="1"/>
    </xf>
    <xf numFmtId="0" fontId="11" fillId="4" borderId="4" xfId="0" applyFont="1" applyFill="1" applyBorder="1" applyAlignment="1">
      <alignment vertical="top" wrapText="1"/>
    </xf>
    <xf numFmtId="0" fontId="9" fillId="4" borderId="7" xfId="0" applyFont="1" applyFill="1" applyBorder="1" applyAlignment="1">
      <alignment vertical="top"/>
    </xf>
    <xf numFmtId="0" fontId="13" fillId="4" borderId="5" xfId="0" applyFont="1" applyFill="1" applyBorder="1" applyAlignment="1">
      <alignment vertical="top"/>
    </xf>
    <xf numFmtId="0" fontId="8" fillId="0" borderId="8" xfId="0" applyFont="1" applyBorder="1" applyAlignment="1">
      <alignment horizontal="left" vertical="top" wrapText="1"/>
    </xf>
    <xf numFmtId="10" fontId="9" fillId="0" borderId="1" xfId="0" applyNumberFormat="1" applyFont="1" applyBorder="1" applyAlignment="1">
      <alignment horizontal="center" vertical="center"/>
    </xf>
    <xf numFmtId="0" fontId="7" fillId="0" borderId="6" xfId="0" applyFont="1" applyBorder="1" applyAlignment="1">
      <alignment horizontal="left" vertical="top" wrapText="1"/>
    </xf>
    <xf numFmtId="0" fontId="8" fillId="0" borderId="1" xfId="0" applyFont="1" applyBorder="1" applyAlignment="1">
      <alignment horizontal="left" vertical="top" wrapText="1"/>
    </xf>
    <xf numFmtId="0" fontId="9" fillId="4" borderId="9" xfId="0" applyFont="1" applyFill="1" applyBorder="1" applyAlignment="1">
      <alignment vertical="top" wrapText="1"/>
    </xf>
    <xf numFmtId="10" fontId="8" fillId="0" borderId="1" xfId="0" applyNumberFormat="1" applyFont="1" applyBorder="1" applyAlignment="1">
      <alignment horizontal="center" vertical="center" wrapText="1"/>
    </xf>
    <xf numFmtId="0" fontId="14" fillId="0" borderId="4" xfId="0" applyFont="1" applyBorder="1" applyAlignment="1">
      <alignment vertical="top"/>
    </xf>
    <xf numFmtId="0" fontId="14" fillId="0" borderId="4" xfId="0" applyFont="1" applyBorder="1" applyAlignment="1">
      <alignment vertical="top" wrapText="1"/>
    </xf>
    <xf numFmtId="0" fontId="9" fillId="0" borderId="4" xfId="0" applyFont="1" applyBorder="1" applyAlignment="1">
      <alignment vertical="top"/>
    </xf>
    <xf numFmtId="0" fontId="9" fillId="4" borderId="10" xfId="0" applyFont="1" applyFill="1" applyBorder="1" applyAlignment="1">
      <alignment horizontal="left" vertical="top" wrapText="1"/>
    </xf>
    <xf numFmtId="10" fontId="7" fillId="0" borderId="1" xfId="0" applyNumberFormat="1" applyFont="1" applyBorder="1" applyAlignment="1">
      <alignment horizontal="center" vertical="center" wrapText="1"/>
    </xf>
    <xf numFmtId="0" fontId="9" fillId="4" borderId="1" xfId="0" applyFont="1" applyFill="1" applyBorder="1" applyAlignment="1">
      <alignment horizontal="left" vertical="top" wrapText="1"/>
    </xf>
    <xf numFmtId="0" fontId="9" fillId="4" borderId="1" xfId="0" applyFont="1" applyFill="1" applyBorder="1" applyAlignment="1">
      <alignment horizontal="left" vertical="top"/>
    </xf>
    <xf numFmtId="0" fontId="8" fillId="0" borderId="6" xfId="0" applyFont="1" applyBorder="1" applyAlignment="1">
      <alignment horizontal="left" vertical="top" wrapText="1"/>
    </xf>
    <xf numFmtId="0" fontId="8" fillId="0" borderId="5" xfId="0" applyFont="1" applyBorder="1" applyAlignment="1">
      <alignment vertical="top"/>
    </xf>
    <xf numFmtId="0" fontId="5" fillId="0" borderId="4" xfId="0" applyFont="1" applyBorder="1"/>
    <xf numFmtId="0" fontId="9" fillId="0" borderId="6" xfId="0" applyFont="1" applyBorder="1" applyAlignment="1">
      <alignment horizontal="left" vertical="top"/>
    </xf>
    <xf numFmtId="0" fontId="6" fillId="0" borderId="6" xfId="0" applyFont="1" applyBorder="1" applyAlignment="1">
      <alignment horizontal="left" vertical="top" wrapText="1"/>
    </xf>
    <xf numFmtId="0" fontId="7" fillId="0" borderId="1" xfId="0" applyFont="1" applyBorder="1" applyAlignment="1">
      <alignment horizontal="left" vertical="top" wrapText="1"/>
    </xf>
    <xf numFmtId="10" fontId="15" fillId="0" borderId="4" xfId="0" applyNumberFormat="1" applyFont="1" applyBorder="1" applyAlignment="1">
      <alignment horizontal="center" vertical="center" wrapText="1"/>
    </xf>
    <xf numFmtId="0" fontId="9" fillId="0" borderId="1" xfId="0" applyFont="1" applyBorder="1" applyAlignment="1">
      <alignment horizontal="left" vertical="top"/>
    </xf>
    <xf numFmtId="0" fontId="9" fillId="4" borderId="4" xfId="0" applyFont="1" applyFill="1" applyBorder="1" applyAlignment="1">
      <alignment horizontal="center" vertical="center"/>
    </xf>
    <xf numFmtId="2" fontId="5" fillId="0" borderId="4" xfId="0" applyNumberFormat="1" applyFont="1" applyBorder="1"/>
    <xf numFmtId="0" fontId="13" fillId="4" borderId="1" xfId="0" applyFont="1" applyFill="1" applyBorder="1" applyAlignment="1">
      <alignment horizontal="left" vertical="top"/>
    </xf>
    <xf numFmtId="0" fontId="8" fillId="0" borderId="1" xfId="0" applyFont="1" applyBorder="1" applyAlignment="1">
      <alignment horizontal="center" vertical="top" wrapText="1"/>
    </xf>
    <xf numFmtId="0" fontId="9" fillId="0" borderId="4" xfId="0" applyFont="1" applyBorder="1" applyAlignment="1">
      <alignment horizontal="right" vertical="top"/>
    </xf>
    <xf numFmtId="2" fontId="9" fillId="0" borderId="4" xfId="0" applyNumberFormat="1" applyFont="1" applyBorder="1" applyAlignment="1">
      <alignment horizontal="left" vertical="top" wrapText="1"/>
    </xf>
    <xf numFmtId="10" fontId="9" fillId="0" borderId="4" xfId="0" applyNumberFormat="1" applyFont="1" applyBorder="1" applyAlignment="1">
      <alignment horizontal="center" vertical="center" wrapText="1"/>
    </xf>
    <xf numFmtId="0" fontId="13" fillId="4" borderId="1" xfId="0" applyFont="1" applyFill="1" applyBorder="1" applyAlignment="1">
      <alignment horizontal="left" vertical="top" wrapText="1"/>
    </xf>
    <xf numFmtId="10" fontId="5" fillId="0" borderId="4" xfId="0" applyNumberFormat="1" applyFont="1" applyBorder="1" applyAlignment="1">
      <alignment wrapText="1"/>
    </xf>
    <xf numFmtId="0" fontId="16" fillId="0" borderId="1" xfId="0" applyFont="1" applyBorder="1" applyAlignment="1">
      <alignment horizontal="center" vertical="top" wrapText="1"/>
    </xf>
    <xf numFmtId="2" fontId="9" fillId="0" borderId="4" xfId="0" applyNumberFormat="1" applyFont="1" applyBorder="1" applyAlignment="1">
      <alignment vertical="top"/>
    </xf>
    <xf numFmtId="0" fontId="17" fillId="0" borderId="0" xfId="0" applyFont="1" applyAlignment="1">
      <alignment wrapText="1"/>
    </xf>
    <xf numFmtId="0" fontId="18" fillId="0" borderId="4" xfId="0" applyFont="1" applyBorder="1" applyAlignment="1">
      <alignment vertical="top" wrapText="1"/>
    </xf>
    <xf numFmtId="0" fontId="18" fillId="0" borderId="4" xfId="0" applyFont="1" applyBorder="1" applyAlignment="1">
      <alignment horizontal="center" vertical="top"/>
    </xf>
    <xf numFmtId="0" fontId="7" fillId="0" borderId="1" xfId="0" applyFont="1" applyBorder="1" applyAlignment="1">
      <alignment vertical="top"/>
    </xf>
    <xf numFmtId="2" fontId="17" fillId="0" borderId="4" xfId="0" applyNumberFormat="1" applyFont="1" applyBorder="1" applyAlignment="1">
      <alignment horizontal="center" vertical="center" wrapText="1"/>
    </xf>
    <xf numFmtId="2" fontId="17" fillId="0" borderId="4" xfId="0" applyNumberFormat="1" applyFont="1" applyBorder="1" applyAlignment="1">
      <alignment horizontal="left" vertical="top" wrapText="1"/>
    </xf>
    <xf numFmtId="0" fontId="17" fillId="0" borderId="1" xfId="0" applyFont="1" applyBorder="1" applyAlignment="1">
      <alignment horizontal="left" vertical="top" wrapText="1"/>
    </xf>
    <xf numFmtId="0" fontId="17" fillId="0" borderId="4" xfId="0" applyFont="1" applyBorder="1" applyAlignment="1">
      <alignment vertical="top" wrapText="1"/>
    </xf>
    <xf numFmtId="0" fontId="17" fillId="0" borderId="4" xfId="0" applyFont="1" applyBorder="1" applyAlignment="1">
      <alignment horizontal="center" vertical="top"/>
    </xf>
    <xf numFmtId="0" fontId="19" fillId="0" borderId="4" xfId="0" applyFont="1" applyBorder="1" applyAlignment="1">
      <alignment horizontal="center" vertical="top"/>
    </xf>
    <xf numFmtId="0" fontId="19" fillId="0" borderId="3" xfId="0" applyFont="1" applyBorder="1" applyAlignment="1">
      <alignment horizontal="left" vertical="top" wrapText="1"/>
    </xf>
    <xf numFmtId="2" fontId="19" fillId="0" borderId="4" xfId="0" applyNumberFormat="1" applyFont="1" applyBorder="1" applyAlignment="1">
      <alignment horizontal="center" vertical="center" wrapText="1"/>
    </xf>
    <xf numFmtId="2" fontId="19" fillId="0" borderId="4" xfId="0" applyNumberFormat="1" applyFont="1" applyBorder="1" applyAlignment="1">
      <alignment horizontal="left" vertical="top" wrapText="1"/>
    </xf>
    <xf numFmtId="10" fontId="19" fillId="0" borderId="4" xfId="0" applyNumberFormat="1" applyFont="1" applyBorder="1" applyAlignment="1">
      <alignment horizontal="center" vertical="center" wrapText="1"/>
    </xf>
    <xf numFmtId="0" fontId="17" fillId="0" borderId="1" xfId="0" applyFont="1" applyBorder="1" applyAlignment="1">
      <alignment horizontal="center" vertical="center" wrapText="1"/>
    </xf>
    <xf numFmtId="0" fontId="19" fillId="0" borderId="4" xfId="0" applyFont="1" applyBorder="1" applyAlignment="1">
      <alignment horizontal="right" vertical="top"/>
    </xf>
    <xf numFmtId="2" fontId="19" fillId="4" borderId="4" xfId="0" applyNumberFormat="1" applyFont="1" applyFill="1" applyBorder="1" applyAlignment="1">
      <alignment horizontal="center" vertical="center" wrapText="1"/>
    </xf>
    <xf numFmtId="0" fontId="17" fillId="4" borderId="1" xfId="0" applyFont="1" applyFill="1" applyBorder="1" applyAlignment="1">
      <alignment horizontal="left" vertical="top" wrapText="1"/>
    </xf>
    <xf numFmtId="0" fontId="7" fillId="0" borderId="3" xfId="0" applyFont="1" applyBorder="1" applyAlignment="1">
      <alignment vertical="top" wrapText="1"/>
    </xf>
    <xf numFmtId="2" fontId="5" fillId="0" borderId="4" xfId="0" applyNumberFormat="1" applyFont="1" applyBorder="1" applyAlignment="1">
      <alignment horizontal="center" wrapText="1"/>
    </xf>
    <xf numFmtId="0" fontId="17" fillId="4" borderId="1" xfId="0" applyFont="1" applyFill="1" applyBorder="1" applyAlignment="1">
      <alignment horizontal="center" vertical="center" wrapText="1"/>
    </xf>
    <xf numFmtId="0" fontId="8" fillId="0" borderId="1" xfId="0" applyFont="1" applyBorder="1" applyAlignment="1">
      <alignment vertical="top"/>
    </xf>
    <xf numFmtId="0" fontId="8" fillId="0" borderId="3" xfId="0" applyFont="1" applyBorder="1" applyAlignment="1">
      <alignment vertical="top" wrapText="1"/>
    </xf>
    <xf numFmtId="2" fontId="10" fillId="0" borderId="4" xfId="0" applyNumberFormat="1" applyFont="1" applyBorder="1" applyAlignment="1">
      <alignment horizontal="center" vertical="center" wrapText="1"/>
    </xf>
    <xf numFmtId="0" fontId="3" fillId="0" borderId="1" xfId="0" applyFont="1" applyBorder="1" applyAlignment="1">
      <alignment horizontal="left" vertical="top" wrapText="1"/>
    </xf>
    <xf numFmtId="0" fontId="5" fillId="0" borderId="10" xfId="0" applyFont="1" applyBorder="1"/>
    <xf numFmtId="0" fontId="5" fillId="0" borderId="0" xfId="0" applyFont="1" applyAlignment="1">
      <alignment horizontal="center"/>
    </xf>
    <xf numFmtId="0" fontId="5" fillId="0" borderId="0" xfId="0" applyFont="1" applyAlignment="1">
      <alignment wrapText="1"/>
    </xf>
    <xf numFmtId="2" fontId="10" fillId="0" borderId="0" xfId="0" applyNumberFormat="1" applyFont="1" applyAlignment="1">
      <alignment horizontal="center" vertical="center"/>
    </xf>
    <xf numFmtId="0" fontId="5" fillId="0" borderId="0" xfId="0" applyFont="1" applyAlignment="1">
      <alignment horizontal="center" vertical="center"/>
    </xf>
    <xf numFmtId="10" fontId="5" fillId="0" borderId="0" xfId="0" applyNumberFormat="1" applyFont="1" applyAlignment="1">
      <alignment horizontal="center" vertical="center"/>
    </xf>
    <xf numFmtId="0" fontId="5" fillId="0" borderId="0" xfId="0" applyFont="1" applyAlignment="1">
      <alignment horizontal="left" vertical="top"/>
    </xf>
    <xf numFmtId="0" fontId="6" fillId="0" borderId="1" xfId="0" applyFont="1" applyBorder="1" applyAlignment="1">
      <alignment horizontal="left" vertical="top" wrapText="1"/>
    </xf>
    <xf numFmtId="0" fontId="19" fillId="0" borderId="4" xfId="0" applyFont="1" applyBorder="1" applyAlignment="1">
      <alignment vertical="top" wrapText="1"/>
    </xf>
    <xf numFmtId="1" fontId="19" fillId="0" borderId="4" xfId="0" applyNumberFormat="1" applyFont="1" applyBorder="1" applyAlignment="1">
      <alignment horizontal="center" vertical="top"/>
    </xf>
    <xf numFmtId="49" fontId="9" fillId="0" borderId="4" xfId="0" applyNumberFormat="1" applyFont="1" applyBorder="1" applyAlignment="1">
      <alignment horizontal="center" vertical="top"/>
    </xf>
    <xf numFmtId="0" fontId="7" fillId="4" borderId="1" xfId="0" applyFont="1" applyFill="1" applyBorder="1" applyAlignment="1">
      <alignment horizontal="left" vertical="top" wrapText="1"/>
    </xf>
    <xf numFmtId="0" fontId="19" fillId="0" borderId="5" xfId="0" applyFont="1" applyBorder="1" applyAlignment="1">
      <alignment vertical="top" wrapText="1"/>
    </xf>
    <xf numFmtId="1" fontId="19" fillId="0" borderId="5" xfId="0" applyNumberFormat="1" applyFont="1" applyBorder="1" applyAlignment="1">
      <alignment horizontal="center" vertical="top"/>
    </xf>
    <xf numFmtId="49" fontId="9" fillId="0" borderId="5" xfId="0" applyNumberFormat="1" applyFont="1" applyBorder="1" applyAlignment="1">
      <alignment horizontal="center" vertical="top"/>
    </xf>
    <xf numFmtId="0" fontId="9" fillId="0" borderId="5" xfId="0" applyFont="1" applyBorder="1" applyAlignment="1">
      <alignment vertical="top"/>
    </xf>
    <xf numFmtId="0" fontId="9" fillId="0" borderId="5" xfId="0" applyFont="1" applyBorder="1" applyAlignment="1">
      <alignment vertical="top" wrapText="1"/>
    </xf>
    <xf numFmtId="2" fontId="19" fillId="0" borderId="5" xfId="0" applyNumberFormat="1" applyFont="1" applyBorder="1" applyAlignment="1">
      <alignment horizontal="center" vertical="center" wrapText="1"/>
    </xf>
    <xf numFmtId="2" fontId="19" fillId="0" borderId="5" xfId="0" applyNumberFormat="1" applyFont="1" applyBorder="1" applyAlignment="1">
      <alignment horizontal="left" vertical="top" wrapText="1"/>
    </xf>
    <xf numFmtId="2" fontId="19" fillId="4" borderId="5" xfId="0" applyNumberFormat="1" applyFont="1" applyFill="1" applyBorder="1" applyAlignment="1">
      <alignment horizontal="center" vertical="center" wrapText="1"/>
    </xf>
    <xf numFmtId="10" fontId="19" fillId="0" borderId="5" xfId="0" applyNumberFormat="1" applyFont="1" applyBorder="1" applyAlignment="1">
      <alignment horizontal="center" vertical="center" wrapText="1"/>
    </xf>
    <xf numFmtId="0" fontId="7" fillId="4" borderId="6" xfId="0" applyFont="1" applyFill="1" applyBorder="1" applyAlignment="1">
      <alignment horizontal="left" vertical="top" wrapText="1"/>
    </xf>
    <xf numFmtId="0" fontId="3" fillId="0" borderId="1" xfId="0" applyFont="1" applyBorder="1" applyAlignment="1">
      <alignment horizontal="center" vertical="top" wrapText="1"/>
    </xf>
    <xf numFmtId="0" fontId="3" fillId="0" borderId="4" xfId="0" applyFont="1" applyBorder="1" applyAlignment="1">
      <alignment horizontal="center" vertical="center" wrapText="1"/>
    </xf>
    <xf numFmtId="0" fontId="5" fillId="8" borderId="0" xfId="0" applyFont="1" applyFill="1" applyBorder="1"/>
    <xf numFmtId="0" fontId="20" fillId="8" borderId="11" xfId="0" applyFont="1" applyFill="1" applyBorder="1" applyAlignment="1">
      <alignment horizontal="left" vertical="center"/>
    </xf>
    <xf numFmtId="0" fontId="20" fillId="8" borderId="12" xfId="0" applyFont="1" applyFill="1" applyBorder="1" applyAlignment="1">
      <alignment horizontal="left" vertical="center"/>
    </xf>
    <xf numFmtId="0" fontId="20" fillId="8" borderId="12" xfId="0" applyFont="1" applyFill="1" applyBorder="1" applyAlignment="1">
      <alignment horizontal="left" vertical="center" wrapText="1"/>
    </xf>
    <xf numFmtId="0" fontId="20" fillId="8" borderId="4" xfId="0" applyFont="1" applyFill="1" applyBorder="1" applyAlignment="1">
      <alignment vertical="center" wrapText="1"/>
    </xf>
    <xf numFmtId="2" fontId="20" fillId="8" borderId="4" xfId="0" applyNumberFormat="1" applyFont="1" applyFill="1" applyBorder="1" applyAlignment="1">
      <alignment horizontal="center" vertical="center" wrapText="1"/>
    </xf>
    <xf numFmtId="10" fontId="20" fillId="8" borderId="4" xfId="0" applyNumberFormat="1" applyFont="1" applyFill="1" applyBorder="1" applyAlignment="1">
      <alignment horizontal="center" vertical="center" wrapText="1"/>
    </xf>
    <xf numFmtId="10" fontId="20" fillId="8" borderId="4" xfId="0" applyNumberFormat="1" applyFont="1" applyFill="1" applyBorder="1" applyAlignment="1">
      <alignment horizontal="left" vertical="top" wrapText="1"/>
    </xf>
    <xf numFmtId="0" fontId="21" fillId="8" borderId="4" xfId="0" applyFont="1" applyFill="1" applyBorder="1" applyAlignment="1">
      <alignment horizontal="left" vertical="top" wrapText="1"/>
    </xf>
    <xf numFmtId="0" fontId="21" fillId="8" borderId="9" xfId="0" applyFont="1" applyFill="1" applyBorder="1" applyAlignment="1">
      <alignment horizontal="left" vertical="top" wrapText="1"/>
    </xf>
    <xf numFmtId="0" fontId="20" fillId="0" borderId="0" xfId="0" applyFont="1" applyAlignment="1">
      <alignment horizontal="left" vertical="center"/>
    </xf>
    <xf numFmtId="0" fontId="20" fillId="0" borderId="0" xfId="0" applyFont="1" applyAlignment="1">
      <alignment horizontal="left" vertical="center" wrapText="1"/>
    </xf>
    <xf numFmtId="0" fontId="20" fillId="0" borderId="0" xfId="0" applyFont="1" applyAlignment="1">
      <alignment vertical="center" wrapText="1"/>
    </xf>
    <xf numFmtId="2" fontId="20" fillId="0" borderId="0" xfId="0" applyNumberFormat="1" applyFont="1" applyAlignment="1">
      <alignment horizontal="center" vertical="center" wrapText="1"/>
    </xf>
    <xf numFmtId="10" fontId="20" fillId="0" borderId="0" xfId="0" applyNumberFormat="1" applyFont="1" applyAlignment="1">
      <alignment horizontal="center" vertical="center" wrapText="1"/>
    </xf>
    <xf numFmtId="10" fontId="20" fillId="0" borderId="0" xfId="0" applyNumberFormat="1" applyFont="1" applyAlignment="1">
      <alignment horizontal="left" vertical="top" wrapText="1"/>
    </xf>
    <xf numFmtId="0" fontId="21" fillId="0" borderId="0" xfId="0" applyFont="1" applyAlignment="1">
      <alignment horizontal="left" vertical="top" wrapText="1"/>
    </xf>
    <xf numFmtId="0" fontId="9" fillId="3" borderId="4" xfId="0" applyFont="1" applyFill="1" applyBorder="1" applyAlignment="1">
      <alignment horizontal="center" vertical="center" wrapText="1"/>
    </xf>
    <xf numFmtId="0" fontId="9" fillId="9" borderId="4" xfId="0" applyFont="1" applyFill="1" applyBorder="1" applyAlignment="1">
      <alignment vertical="top" wrapText="1"/>
    </xf>
    <xf numFmtId="0" fontId="11" fillId="9" borderId="4" xfId="0" applyFont="1" applyFill="1" applyBorder="1" applyAlignment="1">
      <alignment horizontal="left" vertical="top" wrapText="1"/>
    </xf>
    <xf numFmtId="0" fontId="9" fillId="9" borderId="5" xfId="0" applyFont="1" applyFill="1" applyBorder="1" applyAlignment="1">
      <alignment vertical="top"/>
    </xf>
    <xf numFmtId="0" fontId="9" fillId="9" borderId="4" xfId="0" applyFont="1" applyFill="1" applyBorder="1" applyAlignment="1">
      <alignment vertical="top"/>
    </xf>
    <xf numFmtId="0" fontId="9" fillId="9" borderId="4" xfId="0" applyFont="1" applyFill="1" applyBorder="1" applyAlignment="1">
      <alignment horizontal="center" vertical="top" wrapText="1"/>
    </xf>
    <xf numFmtId="0" fontId="9" fillId="9" borderId="4" xfId="0" applyFont="1" applyFill="1" applyBorder="1" applyAlignment="1">
      <alignment horizontal="center" vertical="top"/>
    </xf>
    <xf numFmtId="2" fontId="22" fillId="0" borderId="4" xfId="0" applyNumberFormat="1" applyFont="1" applyBorder="1" applyAlignment="1">
      <alignment horizontal="center" vertical="center" wrapText="1"/>
    </xf>
    <xf numFmtId="2" fontId="14" fillId="0" borderId="4" xfId="0" applyNumberFormat="1" applyFont="1" applyBorder="1" applyAlignment="1">
      <alignment horizontal="center" vertical="center" wrapText="1"/>
    </xf>
    <xf numFmtId="0" fontId="8" fillId="10" borderId="4" xfId="0" applyFont="1" applyFill="1" applyBorder="1" applyAlignment="1">
      <alignment horizontal="left" vertical="top" wrapText="1"/>
    </xf>
    <xf numFmtId="0" fontId="9" fillId="9" borderId="4" xfId="0" applyFont="1" applyFill="1" applyBorder="1" applyAlignment="1">
      <alignment horizontal="left" vertical="top" wrapText="1"/>
    </xf>
    <xf numFmtId="0" fontId="9" fillId="9" borderId="4" xfId="0" applyFont="1" applyFill="1" applyBorder="1" applyAlignment="1">
      <alignment horizontal="left" vertical="top"/>
    </xf>
    <xf numFmtId="0" fontId="9" fillId="9" borderId="5" xfId="0" applyFont="1" applyFill="1" applyBorder="1" applyAlignment="1">
      <alignment vertical="top" wrapText="1"/>
    </xf>
    <xf numFmtId="0" fontId="11" fillId="9" borderId="4" xfId="0" applyFont="1" applyFill="1" applyBorder="1" applyAlignment="1">
      <alignment vertical="top" wrapText="1"/>
    </xf>
    <xf numFmtId="0" fontId="9" fillId="9" borderId="7" xfId="0" applyFont="1" applyFill="1" applyBorder="1" applyAlignment="1">
      <alignment horizontal="center" vertical="top"/>
    </xf>
    <xf numFmtId="0" fontId="13" fillId="9" borderId="5" xfId="0" applyFont="1" applyFill="1" applyBorder="1" applyAlignment="1">
      <alignment vertical="top"/>
    </xf>
    <xf numFmtId="0" fontId="10" fillId="9" borderId="9" xfId="0" applyFont="1" applyFill="1" applyBorder="1" applyAlignment="1">
      <alignment vertical="top" wrapText="1"/>
    </xf>
    <xf numFmtId="0" fontId="10" fillId="9" borderId="5" xfId="0" applyFont="1" applyFill="1" applyBorder="1" applyAlignment="1">
      <alignment vertical="top"/>
    </xf>
    <xf numFmtId="0" fontId="10" fillId="9" borderId="4" xfId="0" applyFont="1" applyFill="1" applyBorder="1" applyAlignment="1">
      <alignment vertical="top" wrapText="1"/>
    </xf>
    <xf numFmtId="0" fontId="10" fillId="9" borderId="4" xfId="0" applyFont="1" applyFill="1" applyBorder="1" applyAlignment="1">
      <alignment vertical="top"/>
    </xf>
    <xf numFmtId="0" fontId="9" fillId="9" borderId="10" xfId="0" applyFont="1" applyFill="1" applyBorder="1" applyAlignment="1">
      <alignment horizontal="left" vertical="top" wrapText="1"/>
    </xf>
    <xf numFmtId="0" fontId="9" fillId="9" borderId="1" xfId="0" applyFont="1" applyFill="1" applyBorder="1" applyAlignment="1">
      <alignment horizontal="left" vertical="top" wrapText="1"/>
    </xf>
    <xf numFmtId="0" fontId="9" fillId="9" borderId="1" xfId="0" applyFont="1" applyFill="1" applyBorder="1" applyAlignment="1">
      <alignment horizontal="left" vertical="top"/>
    </xf>
    <xf numFmtId="0" fontId="9" fillId="9" borderId="9" xfId="0" applyFont="1" applyFill="1" applyBorder="1" applyAlignment="1">
      <alignment vertical="top" wrapText="1"/>
    </xf>
    <xf numFmtId="0" fontId="9" fillId="3" borderId="4" xfId="0" applyFont="1" applyFill="1" applyBorder="1" applyAlignment="1">
      <alignment horizontal="center" vertical="center"/>
    </xf>
    <xf numFmtId="0" fontId="9" fillId="3" borderId="1" xfId="0" applyFont="1" applyFill="1" applyBorder="1" applyAlignment="1">
      <alignment horizontal="left" vertical="top"/>
    </xf>
    <xf numFmtId="0" fontId="9" fillId="7" borderId="1" xfId="0" applyFont="1" applyFill="1" applyBorder="1" applyAlignment="1">
      <alignment horizontal="left" vertical="top"/>
    </xf>
    <xf numFmtId="2" fontId="19" fillId="3" borderId="4" xfId="0" applyNumberFormat="1" applyFont="1" applyFill="1" applyBorder="1" applyAlignment="1">
      <alignment horizontal="center" vertical="center" wrapText="1"/>
    </xf>
    <xf numFmtId="0" fontId="17" fillId="3" borderId="1" xfId="0" applyFont="1" applyFill="1" applyBorder="1" applyAlignment="1">
      <alignment horizontal="left" vertical="top" wrapText="1"/>
    </xf>
    <xf numFmtId="0" fontId="17" fillId="3" borderId="1" xfId="0" applyFont="1" applyFill="1" applyBorder="1" applyAlignment="1">
      <alignment horizontal="center" vertical="center" wrapText="1"/>
    </xf>
    <xf numFmtId="2" fontId="19" fillId="3" borderId="5" xfId="0" applyNumberFormat="1" applyFont="1" applyFill="1" applyBorder="1" applyAlignment="1">
      <alignment horizontal="center" vertical="center" wrapText="1"/>
    </xf>
    <xf numFmtId="0" fontId="3" fillId="5" borderId="4" xfId="0" applyFont="1" applyFill="1" applyBorder="1" applyAlignment="1">
      <alignment horizontal="center" vertical="top" wrapText="1"/>
    </xf>
    <xf numFmtId="0" fontId="6" fillId="0" borderId="4" xfId="0" applyFont="1" applyBorder="1" applyAlignment="1">
      <alignment horizontal="center" vertical="center" wrapText="1"/>
    </xf>
    <xf numFmtId="0" fontId="7" fillId="0" borderId="4" xfId="0" applyFont="1" applyBorder="1" applyAlignment="1">
      <alignment horizontal="center" vertical="center" wrapText="1"/>
    </xf>
    <xf numFmtId="0" fontId="9" fillId="2" borderId="4" xfId="0" applyFont="1" applyFill="1" applyBorder="1" applyAlignment="1">
      <alignment horizontal="center" vertical="center" wrapText="1"/>
    </xf>
    <xf numFmtId="0" fontId="10" fillId="2" borderId="0" xfId="0" applyFont="1" applyFill="1" applyBorder="1" applyAlignment="1">
      <alignment horizontal="left" vertical="top" wrapText="1"/>
    </xf>
    <xf numFmtId="0" fontId="23" fillId="2" borderId="4" xfId="0" applyFont="1" applyFill="1" applyBorder="1" applyAlignment="1">
      <alignment horizontal="center" vertical="center" wrapText="1"/>
    </xf>
    <xf numFmtId="0" fontId="9" fillId="2" borderId="4" xfId="0" applyFont="1" applyFill="1" applyBorder="1" applyAlignment="1">
      <alignment horizontal="left" vertical="top" wrapText="1"/>
    </xf>
    <xf numFmtId="0" fontId="10" fillId="2" borderId="4" xfId="0" applyFont="1" applyFill="1" applyBorder="1" applyAlignment="1">
      <alignment horizontal="left" vertical="top" wrapText="1"/>
    </xf>
    <xf numFmtId="0" fontId="23" fillId="2" borderId="5" xfId="0" applyFont="1" applyFill="1" applyBorder="1" applyAlignment="1">
      <alignment horizontal="center" vertical="center" wrapText="1"/>
    </xf>
    <xf numFmtId="0" fontId="5" fillId="0" borderId="4" xfId="0" applyFont="1" applyBorder="1" applyAlignment="1">
      <alignment horizontal="left" vertical="top"/>
    </xf>
    <xf numFmtId="0" fontId="7" fillId="7" borderId="4" xfId="0" applyFont="1" applyFill="1" applyBorder="1" applyAlignment="1">
      <alignment horizontal="center" vertical="center" wrapText="1"/>
    </xf>
    <xf numFmtId="0" fontId="9" fillId="0" borderId="4" xfId="0" applyFont="1" applyBorder="1" applyAlignment="1">
      <alignment horizontal="left" vertical="top"/>
    </xf>
    <xf numFmtId="0" fontId="5" fillId="2" borderId="4" xfId="0" applyFont="1" applyFill="1" applyBorder="1" applyAlignment="1">
      <alignment horizontal="left" vertical="top" wrapText="1"/>
    </xf>
    <xf numFmtId="0" fontId="11" fillId="0" borderId="4" xfId="0" applyFont="1" applyBorder="1" applyAlignment="1">
      <alignment vertical="top" wrapText="1"/>
    </xf>
    <xf numFmtId="0" fontId="11" fillId="2" borderId="4" xfId="0" applyFont="1" applyFill="1" applyBorder="1" applyAlignment="1">
      <alignment horizontal="left" vertical="top" wrapText="1"/>
    </xf>
    <xf numFmtId="0" fontId="9" fillId="0" borderId="7" xfId="0" applyFont="1" applyBorder="1" applyAlignment="1">
      <alignment vertical="top"/>
    </xf>
    <xf numFmtId="0" fontId="23" fillId="2" borderId="7" xfId="0" applyFont="1" applyFill="1" applyBorder="1" applyAlignment="1">
      <alignment horizontal="center" vertical="center" wrapText="1"/>
    </xf>
    <xf numFmtId="0" fontId="13" fillId="0" borderId="5" xfId="0" applyFont="1" applyBorder="1" applyAlignment="1">
      <alignment vertical="top"/>
    </xf>
    <xf numFmtId="0" fontId="24" fillId="2" borderId="5" xfId="0" applyFont="1" applyFill="1" applyBorder="1" applyAlignment="1">
      <alignment horizontal="center" vertical="center" wrapText="1"/>
    </xf>
    <xf numFmtId="0" fontId="13" fillId="2" borderId="4" xfId="0" applyFont="1" applyFill="1" applyBorder="1" applyAlignment="1">
      <alignment horizontal="left" vertical="top" wrapText="1"/>
    </xf>
    <xf numFmtId="0" fontId="7" fillId="7" borderId="8" xfId="0" applyFont="1" applyFill="1" applyBorder="1" applyAlignment="1">
      <alignment horizontal="center" vertical="center" wrapText="1"/>
    </xf>
    <xf numFmtId="0" fontId="7" fillId="7" borderId="6"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9" fillId="0" borderId="9" xfId="0" applyFont="1" applyBorder="1" applyAlignment="1">
      <alignment vertical="top" wrapText="1"/>
    </xf>
    <xf numFmtId="0" fontId="23" fillId="2" borderId="9" xfId="0" applyFont="1" applyFill="1" applyBorder="1" applyAlignment="1">
      <alignment horizontal="center" vertical="center" wrapText="1"/>
    </xf>
    <xf numFmtId="0" fontId="9" fillId="6" borderId="4" xfId="0" applyFont="1" applyFill="1" applyBorder="1" applyAlignment="1">
      <alignment vertical="top"/>
    </xf>
    <xf numFmtId="0" fontId="5" fillId="2" borderId="4" xfId="0" applyFont="1" applyFill="1" applyBorder="1" applyAlignment="1">
      <alignment horizontal="left" vertical="top"/>
    </xf>
    <xf numFmtId="0" fontId="9" fillId="0" borderId="10" xfId="0" applyFont="1" applyBorder="1" applyAlignment="1">
      <alignment horizontal="left" vertical="top" wrapText="1"/>
    </xf>
    <xf numFmtId="0" fontId="23" fillId="2" borderId="10" xfId="0" applyFont="1" applyFill="1" applyBorder="1" applyAlignment="1">
      <alignment horizontal="center" vertical="center" wrapText="1"/>
    </xf>
    <xf numFmtId="0" fontId="9" fillId="0" borderId="1" xfId="0" applyFont="1" applyBorder="1" applyAlignment="1">
      <alignment horizontal="left" vertical="top" wrapText="1"/>
    </xf>
    <xf numFmtId="0" fontId="23" fillId="2" borderId="1" xfId="0" applyFont="1" applyFill="1" applyBorder="1" applyAlignment="1">
      <alignment horizontal="center" vertical="center" wrapText="1"/>
    </xf>
    <xf numFmtId="0" fontId="19" fillId="7" borderId="6" xfId="0" applyFont="1" applyFill="1" applyBorder="1" applyAlignment="1">
      <alignment horizontal="center" vertical="center" wrapText="1"/>
    </xf>
    <xf numFmtId="0" fontId="6" fillId="0" borderId="6"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11" fillId="2" borderId="1" xfId="0" applyFont="1" applyFill="1" applyBorder="1" applyAlignment="1">
      <alignment horizontal="center" vertical="center" wrapText="1"/>
    </xf>
    <xf numFmtId="0" fontId="9" fillId="2" borderId="4" xfId="0" applyFont="1" applyFill="1" applyBorder="1" applyAlignment="1">
      <alignment horizontal="center" vertical="center"/>
    </xf>
    <xf numFmtId="0" fontId="9" fillId="7" borderId="1" xfId="0" applyFont="1" applyFill="1" applyBorder="1" applyAlignment="1">
      <alignment horizontal="center" vertical="center" wrapText="1"/>
    </xf>
    <xf numFmtId="0" fontId="9" fillId="11" borderId="1" xfId="0" applyFont="1" applyFill="1" applyBorder="1" applyAlignment="1">
      <alignment horizontal="center" vertical="center" wrapText="1"/>
    </xf>
    <xf numFmtId="0" fontId="8" fillId="11" borderId="1" xfId="0" applyFont="1" applyFill="1" applyBorder="1" applyAlignment="1">
      <alignment horizontal="center" vertical="center" wrapText="1"/>
    </xf>
    <xf numFmtId="0" fontId="8" fillId="2" borderId="4" xfId="0" applyFont="1" applyFill="1" applyBorder="1" applyAlignment="1">
      <alignment horizontal="left" vertical="top" wrapText="1"/>
    </xf>
    <xf numFmtId="0" fontId="7" fillId="11" borderId="1" xfId="0" applyFont="1" applyFill="1" applyBorder="1" applyAlignment="1">
      <alignment horizontal="center" vertical="center" wrapText="1"/>
    </xf>
    <xf numFmtId="0" fontId="13" fillId="0" borderId="1" xfId="0" applyFont="1" applyBorder="1" applyAlignment="1">
      <alignment horizontal="left" vertical="top"/>
    </xf>
    <xf numFmtId="0" fontId="25" fillId="2" borderId="1" xfId="0" applyFont="1" applyFill="1" applyBorder="1" applyAlignment="1">
      <alignment horizontal="center" vertical="center" wrapText="1"/>
    </xf>
    <xf numFmtId="0" fontId="13" fillId="0" borderId="1" xfId="0" applyFont="1" applyBorder="1" applyAlignment="1">
      <alignment horizontal="left" vertical="top" wrapText="1"/>
    </xf>
    <xf numFmtId="0" fontId="16" fillId="11" borderId="1" xfId="0" applyFont="1" applyFill="1" applyBorder="1" applyAlignment="1">
      <alignment horizontal="center" vertical="center" wrapText="1"/>
    </xf>
    <xf numFmtId="0" fontId="16" fillId="0" borderId="4" xfId="0" applyFont="1" applyBorder="1" applyAlignment="1">
      <alignment horizontal="left" vertical="top" wrapText="1"/>
    </xf>
    <xf numFmtId="0" fontId="9" fillId="0" borderId="8" xfId="0" applyFont="1" applyBorder="1" applyAlignment="1">
      <alignment horizontal="center" vertical="center" wrapText="1"/>
    </xf>
    <xf numFmtId="0" fontId="17" fillId="11" borderId="1" xfId="0" applyFont="1" applyFill="1" applyBorder="1" applyAlignment="1">
      <alignment horizontal="center" vertical="center" wrapText="1"/>
    </xf>
    <xf numFmtId="0" fontId="17" fillId="0" borderId="4" xfId="0" applyFont="1" applyBorder="1" applyAlignment="1">
      <alignment horizontal="left" vertical="top" wrapText="1"/>
    </xf>
    <xf numFmtId="0" fontId="26" fillId="2" borderId="1" xfId="0" applyFont="1" applyFill="1" applyBorder="1" applyAlignment="1">
      <alignment horizontal="center" vertical="center" wrapText="1"/>
    </xf>
    <xf numFmtId="2" fontId="19" fillId="2" borderId="4" xfId="0" applyNumberFormat="1" applyFont="1" applyFill="1" applyBorder="1" applyAlignment="1">
      <alignment horizontal="center" vertical="center" wrapText="1"/>
    </xf>
    <xf numFmtId="0" fontId="17" fillId="2" borderId="4" xfId="0" applyFont="1" applyFill="1" applyBorder="1" applyAlignment="1">
      <alignment horizontal="left" vertical="top" wrapText="1"/>
    </xf>
    <xf numFmtId="0" fontId="27" fillId="2" borderId="1"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5" fillId="11" borderId="0" xfId="0" applyFont="1" applyFill="1" applyAlignment="1">
      <alignment horizontal="center" vertical="center" wrapText="1"/>
    </xf>
    <xf numFmtId="0" fontId="6" fillId="11" borderId="1" xfId="0" applyFont="1" applyFill="1" applyBorder="1" applyAlignment="1">
      <alignment horizontal="center" vertical="center" wrapText="1"/>
    </xf>
    <xf numFmtId="0" fontId="7" fillId="2" borderId="4" xfId="0" applyFont="1" applyFill="1" applyBorder="1" applyAlignment="1">
      <alignment horizontal="left" vertical="top" wrapText="1"/>
    </xf>
    <xf numFmtId="0" fontId="6" fillId="7" borderId="1" xfId="0" applyFont="1" applyFill="1" applyBorder="1" applyAlignment="1">
      <alignment horizontal="center" vertical="center" wrapText="1"/>
    </xf>
    <xf numFmtId="2" fontId="19" fillId="2" borderId="5" xfId="0" applyNumberFormat="1" applyFont="1" applyFill="1" applyBorder="1" applyAlignment="1">
      <alignment horizontal="center" vertical="center" wrapText="1"/>
    </xf>
    <xf numFmtId="0" fontId="23" fillId="2" borderId="6" xfId="0" applyFont="1" applyFill="1" applyBorder="1" applyAlignment="1">
      <alignment horizontal="center" vertical="center" wrapText="1"/>
    </xf>
    <xf numFmtId="0" fontId="3" fillId="0" borderId="1" xfId="0" applyFont="1" applyBorder="1" applyAlignment="1">
      <alignment horizontal="center" vertical="center" wrapText="1"/>
    </xf>
    <xf numFmtId="0" fontId="20" fillId="8" borderId="4" xfId="0" applyFont="1" applyFill="1" applyBorder="1" applyAlignment="1">
      <alignment horizontal="left" vertical="top" wrapText="1"/>
    </xf>
    <xf numFmtId="0" fontId="21" fillId="8" borderId="4" xfId="0" applyFont="1" applyFill="1" applyBorder="1" applyAlignment="1">
      <alignment horizontal="center" vertical="center" wrapText="1"/>
    </xf>
    <xf numFmtId="0" fontId="8" fillId="0" borderId="0" xfId="0" applyFont="1" applyAlignment="1">
      <alignment vertical="top"/>
    </xf>
    <xf numFmtId="0" fontId="8" fillId="0" borderId="0" xfId="0" applyFont="1" applyAlignment="1">
      <alignment horizontal="center" vertical="top"/>
    </xf>
    <xf numFmtId="0" fontId="9" fillId="0" borderId="0" xfId="0" applyFont="1" applyAlignment="1">
      <alignment horizontal="center" vertical="top"/>
    </xf>
    <xf numFmtId="0" fontId="9" fillId="0" borderId="0" xfId="0" applyFont="1" applyAlignment="1">
      <alignment vertical="top" wrapText="1"/>
    </xf>
    <xf numFmtId="2" fontId="9" fillId="0" borderId="0" xfId="0" applyNumberFormat="1" applyFont="1" applyAlignment="1">
      <alignment horizontal="center" vertical="center" wrapText="1"/>
    </xf>
    <xf numFmtId="0" fontId="9" fillId="0" borderId="0" xfId="0" applyFont="1" applyAlignment="1">
      <alignment horizontal="left" vertical="top" wrapText="1"/>
    </xf>
    <xf numFmtId="0" fontId="9" fillId="0" borderId="0" xfId="0" applyFont="1" applyAlignment="1">
      <alignment horizontal="center" vertical="center"/>
    </xf>
    <xf numFmtId="0" fontId="9" fillId="0" borderId="0" xfId="0" applyFont="1" applyAlignment="1">
      <alignment horizontal="left" vertical="top"/>
    </xf>
    <xf numFmtId="10" fontId="9" fillId="0" borderId="0" xfId="0" applyNumberFormat="1" applyFont="1" applyAlignment="1">
      <alignment horizontal="center" vertical="center"/>
    </xf>
    <xf numFmtId="10" fontId="9" fillId="0" borderId="0" xfId="0" applyNumberFormat="1" applyFont="1" applyAlignment="1">
      <alignment horizontal="left" vertical="top"/>
    </xf>
    <xf numFmtId="0" fontId="28" fillId="0" borderId="0" xfId="0" applyFont="1"/>
    <xf numFmtId="0" fontId="29" fillId="0" borderId="0" xfId="0" applyFont="1" applyAlignment="1">
      <alignment horizontal="center" vertical="center" wrapText="1"/>
    </xf>
    <xf numFmtId="0" fontId="29" fillId="11" borderId="0" xfId="0" applyFont="1" applyFill="1" applyBorder="1" applyAlignment="1">
      <alignment horizontal="center" vertical="center"/>
    </xf>
    <xf numFmtId="0" fontId="4" fillId="0" borderId="0" xfId="0" applyFont="1" applyBorder="1"/>
    <xf numFmtId="2" fontId="30" fillId="0" borderId="0" xfId="0" applyNumberFormat="1" applyFont="1" applyAlignment="1">
      <alignment horizontal="center" vertical="center" wrapText="1"/>
    </xf>
    <xf numFmtId="10" fontId="30" fillId="0" borderId="0" xfId="0" applyNumberFormat="1" applyFont="1" applyAlignment="1">
      <alignment horizontal="center" vertical="center" wrapText="1"/>
    </xf>
    <xf numFmtId="0" fontId="30" fillId="0" borderId="0" xfId="0" applyFont="1" applyAlignment="1">
      <alignment horizontal="center" vertical="center" wrapText="1"/>
    </xf>
    <xf numFmtId="0" fontId="30" fillId="12" borderId="1" xfId="0" applyFont="1" applyFill="1" applyBorder="1" applyAlignment="1">
      <alignment horizontal="center" vertical="center" wrapText="1"/>
    </xf>
    <xf numFmtId="2" fontId="30" fillId="12" borderId="4" xfId="0" applyNumberFormat="1" applyFont="1" applyFill="1" applyBorder="1" applyAlignment="1">
      <alignment horizontal="center" vertical="center" wrapText="1"/>
    </xf>
    <xf numFmtId="10" fontId="30" fillId="12" borderId="4" xfId="0" applyNumberFormat="1" applyFont="1" applyFill="1" applyBorder="1" applyAlignment="1">
      <alignment horizontal="center" vertical="center" wrapText="1"/>
    </xf>
    <xf numFmtId="0" fontId="30" fillId="12" borderId="4" xfId="0" applyFont="1" applyFill="1" applyBorder="1" applyAlignment="1">
      <alignment horizontal="center" vertical="center" wrapText="1"/>
    </xf>
    <xf numFmtId="0" fontId="3" fillId="13" borderId="4" xfId="0" applyFont="1" applyFill="1" applyBorder="1" applyAlignment="1">
      <alignment vertical="top" wrapText="1"/>
    </xf>
    <xf numFmtId="0" fontId="6" fillId="14" borderId="1" xfId="0" applyFont="1" applyFill="1" applyBorder="1" applyAlignment="1">
      <alignment horizontal="left" vertical="top" wrapText="1"/>
    </xf>
    <xf numFmtId="2" fontId="3" fillId="13" borderId="4" xfId="0" applyNumberFormat="1" applyFont="1" applyFill="1" applyBorder="1" applyAlignment="1">
      <alignment horizontal="center" vertical="center" wrapText="1"/>
    </xf>
    <xf numFmtId="10" fontId="3" fillId="13" borderId="4" xfId="0" applyNumberFormat="1" applyFont="1" applyFill="1" applyBorder="1" applyAlignment="1">
      <alignment horizontal="center" vertical="center" wrapText="1"/>
    </xf>
    <xf numFmtId="1" fontId="19" fillId="0" borderId="4" xfId="0" applyNumberFormat="1" applyFont="1" applyBorder="1" applyAlignment="1">
      <alignment horizontal="center" vertical="top" wrapText="1"/>
    </xf>
    <xf numFmtId="49" fontId="9" fillId="0" borderId="4" xfId="0" applyNumberFormat="1" applyFont="1" applyBorder="1" applyAlignment="1">
      <alignment vertical="top" wrapText="1"/>
    </xf>
    <xf numFmtId="0" fontId="15" fillId="0" borderId="0" xfId="0" applyFont="1"/>
    <xf numFmtId="0" fontId="8" fillId="14" borderId="1" xfId="0" applyFont="1" applyFill="1" applyBorder="1" applyAlignment="1">
      <alignment horizontal="center" vertical="top" wrapText="1"/>
    </xf>
    <xf numFmtId="2" fontId="7" fillId="13" borderId="4" xfId="0" applyNumberFormat="1" applyFont="1" applyFill="1" applyBorder="1" applyAlignment="1">
      <alignment horizontal="center" vertical="center" wrapText="1"/>
    </xf>
    <xf numFmtId="10" fontId="7" fillId="13" borderId="4" xfId="0" applyNumberFormat="1" applyFont="1" applyFill="1" applyBorder="1" applyAlignment="1">
      <alignment horizontal="center" vertical="center" wrapText="1"/>
    </xf>
    <xf numFmtId="10" fontId="5" fillId="0" borderId="0" xfId="0" applyNumberFormat="1" applyFont="1" applyAlignment="1">
      <alignment vertical="center"/>
    </xf>
    <xf numFmtId="2" fontId="6" fillId="14" borderId="4" xfId="0" applyNumberFormat="1" applyFont="1" applyFill="1" applyBorder="1" applyAlignment="1">
      <alignment horizontal="center" vertical="center" wrapText="1"/>
    </xf>
    <xf numFmtId="0" fontId="8" fillId="15" borderId="4" xfId="0" applyFont="1" applyFill="1" applyBorder="1" applyAlignment="1">
      <alignment horizontal="center" vertical="top" wrapText="1"/>
    </xf>
    <xf numFmtId="0" fontId="8" fillId="16" borderId="4" xfId="0" applyFont="1" applyFill="1" applyBorder="1" applyAlignment="1">
      <alignment vertical="top" wrapText="1"/>
    </xf>
    <xf numFmtId="0" fontId="8" fillId="16" borderId="1" xfId="0" applyFont="1" applyFill="1" applyBorder="1" applyAlignment="1">
      <alignment horizontal="left" vertical="top" wrapText="1"/>
    </xf>
    <xf numFmtId="2" fontId="8" fillId="15" borderId="4" xfId="0" applyNumberFormat="1" applyFont="1" applyFill="1" applyBorder="1" applyAlignment="1">
      <alignment horizontal="center" vertical="center" wrapText="1"/>
    </xf>
    <xf numFmtId="10" fontId="8" fillId="15" borderId="4" xfId="0" applyNumberFormat="1" applyFont="1" applyFill="1" applyBorder="1" applyAlignment="1">
      <alignment horizontal="center" vertical="center" wrapText="1"/>
    </xf>
    <xf numFmtId="49" fontId="9" fillId="0" borderId="4" xfId="0" applyNumberFormat="1" applyFont="1" applyBorder="1" applyAlignment="1">
      <alignment horizontal="center" vertical="top" wrapText="1"/>
    </xf>
    <xf numFmtId="2" fontId="31" fillId="0" borderId="4" xfId="0" applyNumberFormat="1" applyFont="1" applyBorder="1" applyAlignment="1">
      <alignment horizontal="center" vertical="center" wrapText="1"/>
    </xf>
    <xf numFmtId="10" fontId="31" fillId="0" borderId="4" xfId="0" applyNumberFormat="1" applyFont="1" applyBorder="1" applyAlignment="1">
      <alignment horizontal="center" vertical="center" wrapText="1"/>
    </xf>
    <xf numFmtId="0" fontId="3" fillId="13" borderId="1" xfId="0" applyFont="1" applyFill="1" applyBorder="1" applyAlignment="1">
      <alignment horizontal="center" vertical="top" wrapText="1"/>
    </xf>
    <xf numFmtId="0" fontId="20" fillId="12" borderId="8" xfId="0" applyFont="1" applyFill="1" applyBorder="1" applyAlignment="1">
      <alignment horizontal="center" vertical="center" wrapText="1"/>
    </xf>
    <xf numFmtId="0" fontId="4" fillId="0" borderId="11" xfId="0" applyFont="1" applyBorder="1"/>
    <xf numFmtId="180" fontId="20" fillId="12" borderId="8" xfId="0" applyNumberFormat="1" applyFont="1" applyFill="1" applyBorder="1" applyAlignment="1">
      <alignment horizontal="center" vertical="center" wrapText="1"/>
    </xf>
    <xf numFmtId="180" fontId="20" fillId="12" borderId="9" xfId="0" applyNumberFormat="1" applyFont="1" applyFill="1" applyBorder="1" applyAlignment="1">
      <alignment horizontal="center" vertical="center" wrapText="1"/>
    </xf>
    <xf numFmtId="10" fontId="20" fillId="12" borderId="9" xfId="0" applyNumberFormat="1" applyFont="1" applyFill="1" applyBorder="1" applyAlignment="1">
      <alignment horizontal="center" vertical="center" wrapText="1"/>
    </xf>
    <xf numFmtId="49" fontId="9" fillId="0" borderId="4" xfId="0" applyNumberFormat="1" applyFont="1" applyBorder="1" applyAlignment="1" quotePrefix="1">
      <alignment horizontal="center" vertical="top" wrapText="1"/>
    </xf>
    <xf numFmtId="0" fontId="9" fillId="7" borderId="4" xfId="0" applyFont="1" applyFill="1" applyBorder="1" applyAlignment="1" quotePrefix="1">
      <alignment horizontal="center" vertical="top"/>
    </xf>
    <xf numFmtId="0" fontId="9" fillId="0" borderId="4" xfId="0" applyFont="1" applyBorder="1" applyAlignment="1" quotePrefix="1">
      <alignment horizontal="center" vertical="top"/>
    </xf>
    <xf numFmtId="0" fontId="9" fillId="0" borderId="4" xfId="0" applyFont="1" applyBorder="1" applyAlignment="1" quotePrefix="1">
      <alignment vertical="top" wrapText="1"/>
    </xf>
    <xf numFmtId="0" fontId="19" fillId="0" borderId="4" xfId="0" applyFont="1" applyBorder="1" applyAlignment="1" quotePrefix="1">
      <alignment horizontal="center" vertical="top"/>
    </xf>
    <xf numFmtId="0" fontId="19" fillId="0" borderId="3" xfId="0" applyFont="1" applyBorder="1" applyAlignment="1" quotePrefix="1">
      <alignment horizontal="left" vertical="top" wrapText="1"/>
    </xf>
    <xf numFmtId="0" fontId="19" fillId="0" borderId="4" xfId="0" applyFont="1" applyBorder="1" applyAlignment="1" quotePrefix="1">
      <alignment horizontal="right" vertical="top"/>
    </xf>
    <xf numFmtId="0" fontId="8" fillId="0" borderId="4" xfId="0" applyFont="1" applyBorder="1" applyAlignment="1" quotePrefix="1">
      <alignment horizontal="center" vertical="top"/>
    </xf>
    <xf numFmtId="49" fontId="9" fillId="0" borderId="4" xfId="0" applyNumberFormat="1" applyFont="1" applyBorder="1" applyAlignment="1" quotePrefix="1">
      <alignment horizontal="center" vertical="top"/>
    </xf>
    <xf numFmtId="49" fontId="9" fillId="0" borderId="5" xfId="0" applyNumberFormat="1" applyFont="1" applyBorder="1" applyAlignment="1" quotePrefix="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99" Type="http://schemas.openxmlformats.org/officeDocument/2006/relationships/hyperlink" Target="https://drive.google.com/drive/folders/1nnfGgGbCttx5ToZP0Ci2vNXjA7Vb-m4g?usp=drive_link" TargetMode="External"/><Relationship Id="rId98" Type="http://schemas.openxmlformats.org/officeDocument/2006/relationships/hyperlink" Target="https://drive.google.com/drive/folders/10806SVV0iyfwgAWGQroR_WEC9AZEUDky?usp=drive_link" TargetMode="External"/><Relationship Id="rId97" Type="http://schemas.openxmlformats.org/officeDocument/2006/relationships/hyperlink" Target="https://drive.google.com/drive/folders/1ZiUlrnGBlymHMwgEjLd61IqoN-28GVSW?usp=drive_link" TargetMode="External"/><Relationship Id="rId96" Type="http://schemas.openxmlformats.org/officeDocument/2006/relationships/hyperlink" Target="https://drive.google.com/drive/folders/1bP2v-wtbl-wu2unmfyqIh97GX_TTJ_FD?usp=drive_link" TargetMode="External"/><Relationship Id="rId95" Type="http://schemas.openxmlformats.org/officeDocument/2006/relationships/hyperlink" Target="https://drive.google.com/drive/folders/1oIrwN4vF_GsaWLuCxvAwFuoPycQdnTNd?usp=drive_link" TargetMode="External"/><Relationship Id="rId94" Type="http://schemas.openxmlformats.org/officeDocument/2006/relationships/hyperlink" Target="https://drive.google.com/drive/folders/1SsYdQNyTckRJj-g4WxZJvHlYf-FPkQxF?usp=drive_link" TargetMode="External"/><Relationship Id="rId93" Type="http://schemas.openxmlformats.org/officeDocument/2006/relationships/hyperlink" Target="https://drive.google.com/drive/folders/1mLD610y8p8pEG4_LVYusdWWToN0H8gGd?usp=drive_link" TargetMode="External"/><Relationship Id="rId92" Type="http://schemas.openxmlformats.org/officeDocument/2006/relationships/hyperlink" Target="https://drive.google.com/drive/folders/1wLpwVc_vQIUF-_m9F8zaue13G6ZoiThG?usp=drive_link" TargetMode="External"/><Relationship Id="rId91" Type="http://schemas.openxmlformats.org/officeDocument/2006/relationships/hyperlink" Target="https://drive.google.com/drive/folders/1EFFD3AeTSiIeK3tL6CM1wPBmfekAnqVE?usp=drive_link" TargetMode="External"/><Relationship Id="rId90" Type="http://schemas.openxmlformats.org/officeDocument/2006/relationships/hyperlink" Target="https://drive.google.com/drive/folders/1Wg8Qx5ISVnKtSLLDKK3jxa6SvJE1n7eG?usp=drive_link" TargetMode="External"/><Relationship Id="rId9" Type="http://schemas.openxmlformats.org/officeDocument/2006/relationships/hyperlink" Target="https://drive.google.com/drive/folders/1Dz9y1eITDSzFqhsEqtXDA6MVbNATNQot?usp=drive_link" TargetMode="External"/><Relationship Id="rId89" Type="http://schemas.openxmlformats.org/officeDocument/2006/relationships/hyperlink" Target="https://drive.google.com/drive/folders/1sGRsE9rvWYtBuT7piJTGTCO2-RaLUt0u?usp=drive_link" TargetMode="External"/><Relationship Id="rId88" Type="http://schemas.openxmlformats.org/officeDocument/2006/relationships/hyperlink" Target="https://drive.google.com/drive/folders/17SrKjjrrs2nqvDF-3blI9-EoYOPqQpvR?usp=drive_link" TargetMode="External"/><Relationship Id="rId87" Type="http://schemas.openxmlformats.org/officeDocument/2006/relationships/hyperlink" Target="https://drive.google.com/drive/folders/1hyOl-MPPiiy4mkZC_t9usxGX4G8hBUfM?usp=drive_link" TargetMode="External"/><Relationship Id="rId86" Type="http://schemas.openxmlformats.org/officeDocument/2006/relationships/hyperlink" Target="https://drive.google.com/drive/folders/15gIaTrypwBk7LTIeb0lDCvGoHKrdCH3H?usp=drive_link" TargetMode="External"/><Relationship Id="rId85" Type="http://schemas.openxmlformats.org/officeDocument/2006/relationships/hyperlink" Target="https://drive.google.com/drive/folders/10hgGomPvrf2dYRtFgvsqaJf8whe1f_7l?usp=drive_link" TargetMode="External"/><Relationship Id="rId84" Type="http://schemas.openxmlformats.org/officeDocument/2006/relationships/hyperlink" Target="https://drive.google.com/drive/folders/1FfnX_4Nr9p0Jrjj2rs5lDPfKN-i-0neV?usp=drive_link" TargetMode="External"/><Relationship Id="rId83" Type="http://schemas.openxmlformats.org/officeDocument/2006/relationships/hyperlink" Target="https://drive.google.com/drive/folders/1FvGbHzLCHvsj4FkU902TBM_R8VEHkZwQ?usp=drive_link" TargetMode="External"/><Relationship Id="rId82" Type="http://schemas.openxmlformats.org/officeDocument/2006/relationships/hyperlink" Target="https://drive.google.com/drive/folders/10LViG7cb4tocipBDG7KzX-QQFQYJiVBa?usp=drive_link" TargetMode="External"/><Relationship Id="rId81" Type="http://schemas.openxmlformats.org/officeDocument/2006/relationships/hyperlink" Target="https://drive.google.com/drive/folders/1J9tuybXctEsMX807TyTIt3A-NWauwjG3?usp=drive_link" TargetMode="External"/><Relationship Id="rId80" Type="http://schemas.openxmlformats.org/officeDocument/2006/relationships/hyperlink" Target="https://drive.google.com/drive/folders/12SfXvuiHIx6PYrxwXjubg4GkBMv_xobT?usp=drive_link" TargetMode="External"/><Relationship Id="rId8" Type="http://schemas.openxmlformats.org/officeDocument/2006/relationships/hyperlink" Target="https://drive.google.com/drive/folders/1Vy_a1hIHgVS2L85TZOU9jTJNWlk35QEw?usp=drive_link" TargetMode="External"/><Relationship Id="rId79" Type="http://schemas.openxmlformats.org/officeDocument/2006/relationships/hyperlink" Target="https://drive.google.com/drive/folders/1hSeausCUbXmma6tJtv6Z-2EKOUaquW9K?usp=drive_link" TargetMode="External"/><Relationship Id="rId78" Type="http://schemas.openxmlformats.org/officeDocument/2006/relationships/hyperlink" Target="https://drive.google.com/drive/folders/1FBDKBPB6N30vXj8b9ebQ2z93d6fxJ38C?usp=drive_link" TargetMode="External"/><Relationship Id="rId77" Type="http://schemas.openxmlformats.org/officeDocument/2006/relationships/hyperlink" Target="https://drive.google.com/drive/folders/1R3gv6Ys_FrD7zM7xl7wXkSFGunR-6oon?usp=drive_link" TargetMode="External"/><Relationship Id="rId76" Type="http://schemas.openxmlformats.org/officeDocument/2006/relationships/hyperlink" Target="https://drive.google.com/drive/folders/1_dt2x_XiqMcJX7k2LnYIb34yJYcgRzm8?usp=drive_link" TargetMode="External"/><Relationship Id="rId75" Type="http://schemas.openxmlformats.org/officeDocument/2006/relationships/hyperlink" Target="https://drive.google.com/drive/folders/1z-4pfvuEeUK9GZlGt3ihJW7Gq76LExcv?usp=drive_link" TargetMode="External"/><Relationship Id="rId74" Type="http://schemas.openxmlformats.org/officeDocument/2006/relationships/hyperlink" Target="https://drive.google.com/drive/folders/1kZCTa8eEqw1gM9MLW-CwCgnXC5Hhqhnq?usp=drive_link" TargetMode="External"/><Relationship Id="rId73" Type="http://schemas.openxmlformats.org/officeDocument/2006/relationships/hyperlink" Target="https://drive.google.com/drive/folders/1DH1D6FwO0FiJetZvwdxUUo1bGHA-4FaH?usp=drive_link" TargetMode="External"/><Relationship Id="rId72" Type="http://schemas.openxmlformats.org/officeDocument/2006/relationships/hyperlink" Target="https://drive.google.com/drive/folders/1Sb8Ie62xbd-WFSI8GCCSP7tJif5uokLK?usp=drive_link" TargetMode="External"/><Relationship Id="rId71" Type="http://schemas.openxmlformats.org/officeDocument/2006/relationships/hyperlink" Target="https://drive.google.com/drive/folders/1D7tla8Dxi7EdEBa6mjlmqmiv4gckFMHJ?usp=drive_link" TargetMode="External"/><Relationship Id="rId70" Type="http://schemas.openxmlformats.org/officeDocument/2006/relationships/hyperlink" Target="https://drive.google.com/drive/folders/1y-xw4Wi9-G-AnCpodDmC6la8fyDW2K8_?usp=drive_link" TargetMode="External"/><Relationship Id="rId7" Type="http://schemas.openxmlformats.org/officeDocument/2006/relationships/hyperlink" Target="https://drive.google.com/drive/folders/1kOpSRDlO2-l9fNo59B-yw5RfLX5j_2X6?usp=drive_link" TargetMode="External"/><Relationship Id="rId69" Type="http://schemas.openxmlformats.org/officeDocument/2006/relationships/hyperlink" Target="https://drive.google.com/drive/folders/1thck9h55qFOZ5ei8mHZlIWSRBproLSQR?usp=drive_link" TargetMode="External"/><Relationship Id="rId68" Type="http://schemas.openxmlformats.org/officeDocument/2006/relationships/hyperlink" Target="https://drive.google.com/drive/folders/1l0NZSA78DYOE1RbXx-AT-acO386JgxhO?usp=drive_link" TargetMode="External"/><Relationship Id="rId67" Type="http://schemas.openxmlformats.org/officeDocument/2006/relationships/hyperlink" Target="https://drive.google.com/drive/folders/1xzOKN6Ay1gosDlBsZEsc6eLRCEGgQB4T?usp=drive_link" TargetMode="External"/><Relationship Id="rId66" Type="http://schemas.openxmlformats.org/officeDocument/2006/relationships/hyperlink" Target="https://drive.google.com/drive/folders/1QPWtZEXXcNVFL3lEjZGjO6luEyrwYp9P?usp=drive_link" TargetMode="External"/><Relationship Id="rId65" Type="http://schemas.openxmlformats.org/officeDocument/2006/relationships/hyperlink" Target="https://drive.google.com/drive/folders/1jSl_apc2O7MFiD4fWXpyRCZlVWjDAlwn?usp=drive_link" TargetMode="External"/><Relationship Id="rId64" Type="http://schemas.openxmlformats.org/officeDocument/2006/relationships/hyperlink" Target="https://drive.google.com/drive/folders/1F3dAUkvTQmf25UXWrFe2y8iAATU2ARws?usp=drive_link" TargetMode="External"/><Relationship Id="rId63" Type="http://schemas.openxmlformats.org/officeDocument/2006/relationships/hyperlink" Target="https://drive.google.com/drive/folders/1NhEc_QimtxJHNyE2BtHFgS_IE9MckJIM?usp=drive_link" TargetMode="External"/><Relationship Id="rId62" Type="http://schemas.openxmlformats.org/officeDocument/2006/relationships/hyperlink" Target="https://drive.google.com/drive/folders/1R4_NJX1sQiMuXyjU28yGY8qBtf1Tbdk-?usp=drive_link" TargetMode="External"/><Relationship Id="rId61" Type="http://schemas.openxmlformats.org/officeDocument/2006/relationships/hyperlink" Target="https://drive.google.com/drive/folders/1V-odTpFOpAljvbPtffIhp-gtyA7K1MBx?usp=drive_link" TargetMode="External"/><Relationship Id="rId60" Type="http://schemas.openxmlformats.org/officeDocument/2006/relationships/hyperlink" Target="https://drive.google.com/drive/folders/13SRYsF9okBmW_R5APknB55_djoGMMfGA?usp=drive_link" TargetMode="External"/><Relationship Id="rId6" Type="http://schemas.openxmlformats.org/officeDocument/2006/relationships/hyperlink" Target="https://drive.google.com/drive/folders/1-dL5_ZwxvrPNBf7pmu3biNh6N5cJTfrN?usp=drive_link" TargetMode="External"/><Relationship Id="rId59" Type="http://schemas.openxmlformats.org/officeDocument/2006/relationships/hyperlink" Target="https://drive.google.com/drive/folders/1aq_dsodbB0o7ytREvjC-BScik1lsU9Fx?usp=drive_link" TargetMode="External"/><Relationship Id="rId58" Type="http://schemas.openxmlformats.org/officeDocument/2006/relationships/hyperlink" Target="https://drive.google.com/drive/folders/1vk356F9QoVfJLzl6cN5Qb_clYjlfhNz6?usp=drive_link" TargetMode="External"/><Relationship Id="rId57" Type="http://schemas.openxmlformats.org/officeDocument/2006/relationships/hyperlink" Target="https://drive.google.com/drive/folders/1CfWcudiD8LvJHyWTKI2-GnLNicjsOBuN?usp=drive_link" TargetMode="External"/><Relationship Id="rId56" Type="http://schemas.openxmlformats.org/officeDocument/2006/relationships/hyperlink" Target="https://drive.google.com/drive/folders/1XcHo-wu-66vvyBikMsrhD0ZBMuN2sH6J?usp=drive_link" TargetMode="External"/><Relationship Id="rId55" Type="http://schemas.openxmlformats.org/officeDocument/2006/relationships/hyperlink" Target="https://drive.google.com/drive/folders/1oROBympHgEZFUdQHMgVWAtYf-hlIke9A?usp=drive_link" TargetMode="External"/><Relationship Id="rId54" Type="http://schemas.openxmlformats.org/officeDocument/2006/relationships/hyperlink" Target="https://drive.google.com/drive/folders/1Fo20Blw3cr6OzzoDNyBH8j5KRAUsE9ev?usp=drive_link" TargetMode="External"/><Relationship Id="rId53" Type="http://schemas.openxmlformats.org/officeDocument/2006/relationships/hyperlink" Target="https://drive.google.com/drive/folders/1QezPoL0SHMM1aWaiz87MtvKLfR4Kjj1v?usp=drive_link" TargetMode="External"/><Relationship Id="rId52" Type="http://schemas.openxmlformats.org/officeDocument/2006/relationships/hyperlink" Target="https://drive.google.com/drive/folders/18lsnd0cSiUf2r2fae1IPJD1naP6kw3rO?usp=drive_link" TargetMode="External"/><Relationship Id="rId51" Type="http://schemas.openxmlformats.org/officeDocument/2006/relationships/hyperlink" Target="https://drive.google.com/drive/folders/16P0vldwt3whwaCk-9Mhfk0etFBPTPVJC?usp=drive_link" TargetMode="External"/><Relationship Id="rId50" Type="http://schemas.openxmlformats.org/officeDocument/2006/relationships/hyperlink" Target="https://drive.google.com/drive/folders/1F8GW2ZTfYWKZMu-uaRt969kiBZbIj26R?usp=drive_link" TargetMode="External"/><Relationship Id="rId5" Type="http://schemas.openxmlformats.org/officeDocument/2006/relationships/hyperlink" Target="https://drive.google.com/drive/folders/188hWuKlzj-AtZuWQqCB5Lj3zxCgPRFXO?usp=drive_link" TargetMode="External"/><Relationship Id="rId49" Type="http://schemas.openxmlformats.org/officeDocument/2006/relationships/hyperlink" Target="https://drive.google.com/drive/folders/1M9_T6afKLr0H4hkLJ8MpqLOneCuQOrFc?usp=drive_link" TargetMode="External"/><Relationship Id="rId48" Type="http://schemas.openxmlformats.org/officeDocument/2006/relationships/hyperlink" Target="https://drive.google.com/drive/folders/1NY1m9IEcyV9Er_8QZiLbOvTIORpVfbOH?usp=drive_link" TargetMode="External"/><Relationship Id="rId47" Type="http://schemas.openxmlformats.org/officeDocument/2006/relationships/hyperlink" Target="https://drive.google.com/drive/folders/1iQ_LzVC62gTuTnuiPWdr721yNCqXS7Ss?usp=drive_link" TargetMode="External"/><Relationship Id="rId46" Type="http://schemas.openxmlformats.org/officeDocument/2006/relationships/hyperlink" Target="https://drive.google.com/drive/folders/1MHPbi0RoJP3dDlgS1EKk6sNMTafZeQfQ?usp=drive_link" TargetMode="External"/><Relationship Id="rId45" Type="http://schemas.openxmlformats.org/officeDocument/2006/relationships/hyperlink" Target="https://drive.google.com/drive/folders/1c1xaQD7YxwR2xp-UHAB4Qn5N-QBjZT_5?usp=drive_link" TargetMode="External"/><Relationship Id="rId44" Type="http://schemas.openxmlformats.org/officeDocument/2006/relationships/hyperlink" Target="https://drive.google.com/drive/folders/13l6I6zpfK0VbdBAJ8WgOtwG1Iez3grs9?usp=drive_link" TargetMode="External"/><Relationship Id="rId43" Type="http://schemas.openxmlformats.org/officeDocument/2006/relationships/hyperlink" Target="https://drive.google.com/drive/folders/1PodEZwzm5-HJl5Zd-zgN8Yf4CilqA15T?usp=drive_link" TargetMode="External"/><Relationship Id="rId42" Type="http://schemas.openxmlformats.org/officeDocument/2006/relationships/hyperlink" Target="https://drive.google.com/drive/folders/1nHQO1YdO-CtcDRL2bYHtKSYEWpI6BFNL?usp=drive_link" TargetMode="External"/><Relationship Id="rId41" Type="http://schemas.openxmlformats.org/officeDocument/2006/relationships/hyperlink" Target="https://drive.google.com/drive/folders/1ACiVOYt9kO32NhGXIG-bA21kPPP6bTSL?usp=drive_link" TargetMode="External"/><Relationship Id="rId40" Type="http://schemas.openxmlformats.org/officeDocument/2006/relationships/hyperlink" Target="https://drive.google.com/drive/folders/1OxL3haNMtYAPysL3QOb4Lv_kl-12RLKq?usp=drive_link" TargetMode="External"/><Relationship Id="rId4" Type="http://schemas.openxmlformats.org/officeDocument/2006/relationships/hyperlink" Target="https://drive.google.com/drive/folders/1oOg1yLT45yz-G6B-ohZuKBhIkVXJF-dW?usp=drive_link" TargetMode="External"/><Relationship Id="rId39" Type="http://schemas.openxmlformats.org/officeDocument/2006/relationships/hyperlink" Target="https://drive.google.com/drive/folders/1XOkkU8OF0YaU_1OkwUOo2fbL8JDMdNZQ?usp=drive_link" TargetMode="External"/><Relationship Id="rId38" Type="http://schemas.openxmlformats.org/officeDocument/2006/relationships/hyperlink" Target="https://drive.google.com/drive/folders/1yeh_QEEdfPY1GbRcQtOta3C8wfHdphGs?usp=drive_link" TargetMode="External"/><Relationship Id="rId37" Type="http://schemas.openxmlformats.org/officeDocument/2006/relationships/hyperlink" Target="https://drive.google.com/drive/folders/1eIjy82M8e5UXPX-CoEsj9jwJPy3FQ0vo?usp=drive_link" TargetMode="External"/><Relationship Id="rId36" Type="http://schemas.openxmlformats.org/officeDocument/2006/relationships/hyperlink" Target="https://drive.google.com/drive/folders/1jHUD6yE9738oiws_PhMGfqV56zEY8zsS?usp=drive_link" TargetMode="External"/><Relationship Id="rId35" Type="http://schemas.openxmlformats.org/officeDocument/2006/relationships/hyperlink" Target="https://drive.google.com/drive/folders/1X_5_vklLHapGHMhZ3pMFYoZof69Tk1Im?usp=drive_link" TargetMode="External"/><Relationship Id="rId34" Type="http://schemas.openxmlformats.org/officeDocument/2006/relationships/hyperlink" Target="https://drive.google.com/drive/folders/1vCHhXi6KiL0tqXeGcYmG5eWZbwv1BAI7?usp=drive_link" TargetMode="External"/><Relationship Id="rId33" Type="http://schemas.openxmlformats.org/officeDocument/2006/relationships/hyperlink" Target="https://drive.google.com/drive/folders/1WALFwyRT8VyjocEjutkZ8SxoI_0sDoRS?usp=drive_link" TargetMode="External"/><Relationship Id="rId32" Type="http://schemas.openxmlformats.org/officeDocument/2006/relationships/hyperlink" Target="https://drive.google.com/drive/folders/1uwh02zhHp1VU6D50v4RneAqquAHe33iT?usp=drive_link" TargetMode="External"/><Relationship Id="rId31" Type="http://schemas.openxmlformats.org/officeDocument/2006/relationships/hyperlink" Target="https://drive.google.com/drive/folders/1lVzH_--stKl0M7u8nlS85eWcMvD2GSR2?usp=drive_link" TargetMode="External"/><Relationship Id="rId30" Type="http://schemas.openxmlformats.org/officeDocument/2006/relationships/hyperlink" Target="https://drive.google.com/drive/folders/1P_IYOpOrNXTd8Z6Cw2QzHHElOLymK0jR?usp=drive_link" TargetMode="External"/><Relationship Id="rId3" Type="http://schemas.openxmlformats.org/officeDocument/2006/relationships/hyperlink" Target="https://drive.google.com/drive/folders/1DHUvQTFFkHy3LD-eM8t-55h6N31fS4Po?usp=drive_link" TargetMode="External"/><Relationship Id="rId29" Type="http://schemas.openxmlformats.org/officeDocument/2006/relationships/hyperlink" Target="https://drive.google.com/drive/folders/1nUQI1-XNVk8UJhwIGMnH0r5y8WwJHZGY?usp=drive_link" TargetMode="External"/><Relationship Id="rId28" Type="http://schemas.openxmlformats.org/officeDocument/2006/relationships/hyperlink" Target="https://drive.google.com/drive/folders/1_eIIZQjQVf3utFO3aWGpuAm7BKFFOWB5?usp=drive_link" TargetMode="External"/><Relationship Id="rId27" Type="http://schemas.openxmlformats.org/officeDocument/2006/relationships/hyperlink" Target="https://drive.google.com/drive/folders/1R8YcLQX6j7ubdVFBeBsKKIfLSr4o1eMR?usp=drive_link" TargetMode="External"/><Relationship Id="rId26" Type="http://schemas.openxmlformats.org/officeDocument/2006/relationships/hyperlink" Target="https://drive.google.com/drive/folders/1mhyPPZjmtCWL-X-06sFzFfqYuh5_AeZp?usp=drive_link" TargetMode="External"/><Relationship Id="rId25" Type="http://schemas.openxmlformats.org/officeDocument/2006/relationships/hyperlink" Target="https://drive.google.com/drive/folders/1N1BXOIkfAcrrA9lcAKTm1_NBtt6Due7o?usp=drive_link" TargetMode="External"/><Relationship Id="rId24" Type="http://schemas.openxmlformats.org/officeDocument/2006/relationships/hyperlink" Target="https://drive.google.com/drive/folders/1EkypHcuOb4dnBVgEUGnBN3Tz9urIedme?usp=drive_link" TargetMode="External"/><Relationship Id="rId23" Type="http://schemas.openxmlformats.org/officeDocument/2006/relationships/hyperlink" Target="https://drive.google.com/drive/folders/17SZ1ZhxnbGp7snJfxqYj9rHkXJ1c7zt3?usp=drive_link" TargetMode="External"/><Relationship Id="rId22" Type="http://schemas.openxmlformats.org/officeDocument/2006/relationships/hyperlink" Target="https://drive.google.com/drive/folders/1-LcbNdo3ftj4vf-1GuVh3eEBb-EWtDla?usp=drive_link" TargetMode="External"/><Relationship Id="rId21" Type="http://schemas.openxmlformats.org/officeDocument/2006/relationships/hyperlink" Target="https://drive.google.com/drive/folders/1oIiSGvXSxAnwqmZHUyMaGLW15ff7du8s?usp=drive_link" TargetMode="External"/><Relationship Id="rId20" Type="http://schemas.openxmlformats.org/officeDocument/2006/relationships/hyperlink" Target="https://drive.google.com/drive/folders/1BbglMcubBvfzpQPLanRsjYlc0J98ZqKF?usp=drive_link" TargetMode="External"/><Relationship Id="rId2" Type="http://schemas.openxmlformats.org/officeDocument/2006/relationships/hyperlink" Target="https://drive.google.com/drive/folders/1dusJhbZf--MgTnLNI6lOwZSErNqcAYd_?usp=drive_link" TargetMode="External"/><Relationship Id="rId19" Type="http://schemas.openxmlformats.org/officeDocument/2006/relationships/hyperlink" Target="https://drive.google.com/drive/folders/1rV0gig7geaH4YsLSqH4oCmUFC-qfE2pe?usp=drive_link" TargetMode="External"/><Relationship Id="rId18" Type="http://schemas.openxmlformats.org/officeDocument/2006/relationships/hyperlink" Target="https://drive.google.com/drive/folders/1e4iEIsHuLi4u9sflcft4ODLKaR6P1ys-?usp=drive_link" TargetMode="External"/><Relationship Id="rId17" Type="http://schemas.openxmlformats.org/officeDocument/2006/relationships/hyperlink" Target="https://drive.google.com/drive/folders/1yxULGco-JIE2j9oAekSqSZKPlkDae9ew?usp=drive_link" TargetMode="External"/><Relationship Id="rId16" Type="http://schemas.openxmlformats.org/officeDocument/2006/relationships/hyperlink" Target="https://drive.google.com/drive/folders/1YC6-zEcvy5FLhWZrZY8T_LLcHxycetYf?usp=drive_link" TargetMode="External"/><Relationship Id="rId15" Type="http://schemas.openxmlformats.org/officeDocument/2006/relationships/hyperlink" Target="https://drive.google.com/drive/folders/1YxmobLUIbLDIoJomkIyQ65d5jrIUj0F4?usp=drive_link" TargetMode="External"/><Relationship Id="rId14" Type="http://schemas.openxmlformats.org/officeDocument/2006/relationships/hyperlink" Target="https://drive.google.com/drive/folders/1_RdgoeaUCbnQiz-B2xEDz-0IJAFWx3ER?usp=drive_link" TargetMode="External"/><Relationship Id="rId13" Type="http://schemas.openxmlformats.org/officeDocument/2006/relationships/hyperlink" Target="https://drive.google.com/drive/folders/1JFphY7JfovZfH0ncYq3Z2BTOUKB3zm6d?usp=drive_link" TargetMode="External"/><Relationship Id="rId12" Type="http://schemas.openxmlformats.org/officeDocument/2006/relationships/hyperlink" Target="https://drive.google.com/drive/folders/1IYa9cz7lFA7wuz-DkjpADLG06pN2vWHz?usp=drive_link" TargetMode="External"/><Relationship Id="rId113" Type="http://schemas.openxmlformats.org/officeDocument/2006/relationships/hyperlink" Target="https://drive.google.com/drive/folders/1K1vQ9gVH2V6-t7OFqv2mnG9bsL-22180?usp=drive_link" TargetMode="External"/><Relationship Id="rId112" Type="http://schemas.openxmlformats.org/officeDocument/2006/relationships/hyperlink" Target="https://drive.google.com/drive/folders/108KIsUX-hKGSQQ-Z2-pN2KLB25xhXCjW?usp=drive_link" TargetMode="External"/><Relationship Id="rId111" Type="http://schemas.openxmlformats.org/officeDocument/2006/relationships/hyperlink" Target="https://drive.google.com/drive/folders/1FJOhakuKxZmzXu6RkYq_9t3FWbPQJXI6?usp=drive_link" TargetMode="External"/><Relationship Id="rId110" Type="http://schemas.openxmlformats.org/officeDocument/2006/relationships/hyperlink" Target="https://drive.google.com/drive/folders/1jT3xYX8nyIrBctoJXmhekNtRo2Zqfscw?usp=drive_link" TargetMode="External"/><Relationship Id="rId11" Type="http://schemas.openxmlformats.org/officeDocument/2006/relationships/hyperlink" Target="https://drive.google.com/drive/folders/1mcHRmjdp0ULyreIflCVStdsCXNy7x2zy?usp=drive_link" TargetMode="External"/><Relationship Id="rId109" Type="http://schemas.openxmlformats.org/officeDocument/2006/relationships/hyperlink" Target="https://drive.google.com/drive/folders/11ufBxNdgfUak-WhCrN0VR5mOmgXLe2vr?usp=drive_link" TargetMode="External"/><Relationship Id="rId108" Type="http://schemas.openxmlformats.org/officeDocument/2006/relationships/hyperlink" Target="https://drive.google.com/drive/folders/1ykeVK3B58YxW5Bf2ybQrgowoN5O9hGaz?usp=drive_link" TargetMode="External"/><Relationship Id="rId107" Type="http://schemas.openxmlformats.org/officeDocument/2006/relationships/hyperlink" Target="https://drive.google.com/drive/folders/1HWiXWe6irs24Gvg03RWHGg8d0NDPfW0V?usp=drive_link" TargetMode="External"/><Relationship Id="rId106" Type="http://schemas.openxmlformats.org/officeDocument/2006/relationships/hyperlink" Target="https://drive.google.com/drive/folders/14IIpEppIeGgINsgJHTFSqCFIjKIv6Yia?usp=drive_link" TargetMode="External"/><Relationship Id="rId105" Type="http://schemas.openxmlformats.org/officeDocument/2006/relationships/hyperlink" Target="https://drive.google.com/drive/folders/1nBwAedi1X7nfghla2r0nNNgki-EZdDIz?usp=drive_link" TargetMode="External"/><Relationship Id="rId104" Type="http://schemas.openxmlformats.org/officeDocument/2006/relationships/hyperlink" Target="https://drive.google.com/drive/folders/16Gb-0NiIjKHHttsoqBTWH1rl1Ti4sxtr?usp=drive_link" TargetMode="External"/><Relationship Id="rId103" Type="http://schemas.openxmlformats.org/officeDocument/2006/relationships/hyperlink" Target="https://drive.google.com/drive/folders/1fmpg3V2YDpWzub0ksl4g89k6P4eYtFjW?usp=drive_link" TargetMode="External"/><Relationship Id="rId102" Type="http://schemas.openxmlformats.org/officeDocument/2006/relationships/hyperlink" Target="https://drive.google.com/drive/folders/1U-vmpG31ljqfrdbyP0T-f3-hMITIZPg0?usp=drive_link" TargetMode="External"/><Relationship Id="rId101" Type="http://schemas.openxmlformats.org/officeDocument/2006/relationships/hyperlink" Target="https://drive.google.com/drive/folders/1c-tMB0p8YGUA0UbMi04rpHzgtCGxMI2t?usp=drive_link" TargetMode="External"/><Relationship Id="rId100" Type="http://schemas.openxmlformats.org/officeDocument/2006/relationships/hyperlink" Target="https://drive.google.com/drive/folders/1SfaK7InGrbTZY2PFatiwOPJv0FlWtCUJ?usp=drive_link" TargetMode="External"/><Relationship Id="rId10" Type="http://schemas.openxmlformats.org/officeDocument/2006/relationships/hyperlink" Target="https://drive.google.com/drive/folders/1aPKlxQWaKsxqe-YTV0xLKCIVG27hbkJk?usp=drive_link" TargetMode="External"/><Relationship Id="rId1" Type="http://schemas.openxmlformats.org/officeDocument/2006/relationships/hyperlink" Target="https://drive.google.com/drive/folders/14XUk4D5qop3pbbrcAdm6wOCS5_jPnjjK?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drive/u/1/folders/1HWiXWe6irs24Gvg03RWHGg8d0NDPfW0V"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pageSetUpPr fitToPage="1"/>
  </sheetPr>
  <dimension ref="A1:Z1000"/>
  <sheetViews>
    <sheetView showGridLines="0" workbookViewId="0">
      <pane ySplit="4" topLeftCell="A5" activePane="bottomLeft" state="frozen"/>
      <selection/>
      <selection pane="bottomLeft" activeCell="I6" sqref="I6"/>
    </sheetView>
  </sheetViews>
  <sheetFormatPr defaultColWidth="14.4285714285714" defaultRowHeight="15" customHeight="1"/>
  <cols>
    <col min="1" max="1" width="6.14285714285714" customWidth="1"/>
    <col min="2" max="2" width="4" customWidth="1"/>
    <col min="3" max="3" width="4.14285714285714" customWidth="1"/>
    <col min="4" max="4" width="3.42857142857143" customWidth="1"/>
    <col min="5" max="5" width="4.42857142857143" customWidth="1"/>
    <col min="6" max="6" width="3.42857142857143" customWidth="1"/>
    <col min="7" max="7" width="54.1428571428571" customWidth="1"/>
    <col min="8" max="8" width="17" customWidth="1"/>
    <col min="9" max="9" width="20.5714285714286" customWidth="1"/>
    <col min="10" max="10" width="14.1428571428571" customWidth="1"/>
    <col min="11" max="12" width="16.8571428571429" customWidth="1"/>
    <col min="13" max="13" width="21.1428571428571" customWidth="1"/>
  </cols>
  <sheetData>
    <row r="1" ht="51" customHeight="1" spans="1:26">
      <c r="A1" s="282"/>
      <c r="B1" s="283" t="s">
        <v>0</v>
      </c>
      <c r="N1" s="12"/>
      <c r="O1" s="12"/>
      <c r="P1" s="12"/>
      <c r="Q1" s="12"/>
      <c r="R1" s="12"/>
      <c r="S1" s="12"/>
      <c r="T1" s="12"/>
      <c r="U1" s="12"/>
      <c r="V1" s="12"/>
      <c r="W1" s="12"/>
      <c r="X1" s="12"/>
      <c r="Y1" s="12"/>
      <c r="Z1" s="12"/>
    </row>
    <row r="2" ht="62.25" customHeight="1" spans="1:26">
      <c r="A2" s="282"/>
      <c r="B2" s="284" t="s">
        <v>1</v>
      </c>
      <c r="C2" s="285"/>
      <c r="D2" s="285"/>
      <c r="E2" s="285"/>
      <c r="F2" s="285"/>
      <c r="G2" s="285"/>
      <c r="H2" s="286"/>
      <c r="I2" s="286"/>
      <c r="J2" s="286"/>
      <c r="K2" s="286"/>
      <c r="L2" s="287"/>
      <c r="M2" s="288"/>
      <c r="N2" s="12"/>
      <c r="O2" s="12"/>
      <c r="P2" s="12"/>
      <c r="Q2" s="12"/>
      <c r="R2" s="12"/>
      <c r="S2" s="12"/>
      <c r="T2" s="12"/>
      <c r="U2" s="12"/>
      <c r="V2" s="12"/>
      <c r="W2" s="12"/>
      <c r="X2" s="12"/>
      <c r="Y2" s="12"/>
      <c r="Z2" s="12"/>
    </row>
    <row r="3" customHeight="1" spans="1:26">
      <c r="A3" s="282"/>
      <c r="B3" s="288"/>
      <c r="C3" s="288"/>
      <c r="D3" s="288"/>
      <c r="E3" s="288"/>
      <c r="F3" s="288"/>
      <c r="G3" s="288"/>
      <c r="H3" s="286"/>
      <c r="I3" s="286"/>
      <c r="J3" s="286"/>
      <c r="K3" s="286"/>
      <c r="L3" s="287"/>
      <c r="M3" s="288"/>
      <c r="N3" s="12"/>
      <c r="O3" s="12"/>
      <c r="P3" s="12"/>
      <c r="Q3" s="12"/>
      <c r="R3" s="12"/>
      <c r="S3" s="12"/>
      <c r="T3" s="12"/>
      <c r="U3" s="12"/>
      <c r="V3" s="12"/>
      <c r="W3" s="12"/>
      <c r="X3" s="12"/>
      <c r="Y3" s="12"/>
      <c r="Z3" s="12"/>
    </row>
    <row r="4" ht="55.5" customHeight="1" spans="1:26">
      <c r="A4" s="282">
        <v>1</v>
      </c>
      <c r="B4" s="289" t="s">
        <v>2</v>
      </c>
      <c r="C4" s="7"/>
      <c r="D4" s="7"/>
      <c r="E4" s="7"/>
      <c r="F4" s="7"/>
      <c r="G4" s="8"/>
      <c r="H4" s="290" t="s">
        <v>3</v>
      </c>
      <c r="I4" s="290" t="s">
        <v>4</v>
      </c>
      <c r="J4" s="290" t="s">
        <v>5</v>
      </c>
      <c r="K4" s="290" t="s">
        <v>6</v>
      </c>
      <c r="L4" s="291" t="s">
        <v>7</v>
      </c>
      <c r="M4" s="292" t="s">
        <v>8</v>
      </c>
      <c r="N4" s="12"/>
      <c r="O4" s="12"/>
      <c r="P4" s="12"/>
      <c r="Q4" s="12"/>
      <c r="R4" s="12"/>
      <c r="S4" s="12"/>
      <c r="T4" s="12"/>
      <c r="U4" s="12"/>
      <c r="V4" s="12"/>
      <c r="W4" s="12"/>
      <c r="X4" s="12"/>
      <c r="Y4" s="12"/>
      <c r="Z4" s="12"/>
    </row>
    <row r="5" ht="33" customHeight="1" spans="1:26">
      <c r="A5" s="12">
        <v>3</v>
      </c>
      <c r="B5" s="293" t="s">
        <v>9</v>
      </c>
      <c r="C5" s="294" t="s">
        <v>10</v>
      </c>
      <c r="D5" s="7"/>
      <c r="E5" s="7"/>
      <c r="F5" s="7"/>
      <c r="G5" s="8"/>
      <c r="H5" s="295">
        <v>60</v>
      </c>
      <c r="I5" s="295"/>
      <c r="J5" s="295"/>
      <c r="K5" s="295"/>
      <c r="L5" s="296"/>
      <c r="M5" s="296"/>
      <c r="N5" s="12"/>
      <c r="O5" s="12"/>
      <c r="P5" s="12"/>
      <c r="Q5" s="12"/>
      <c r="R5" s="12"/>
      <c r="S5" s="12"/>
      <c r="T5" s="12"/>
      <c r="U5" s="12"/>
      <c r="V5" s="12"/>
      <c r="W5" s="12"/>
      <c r="X5" s="12"/>
      <c r="Y5" s="12"/>
      <c r="Z5" s="12"/>
    </row>
    <row r="6" ht="38.25" customHeight="1" spans="1:26">
      <c r="A6" s="12">
        <v>5</v>
      </c>
      <c r="B6" s="143"/>
      <c r="C6" s="297"/>
      <c r="D6" s="298" t="s">
        <v>11</v>
      </c>
      <c r="E6" s="236" t="s">
        <v>12</v>
      </c>
      <c r="F6" s="7"/>
      <c r="G6" s="8"/>
      <c r="H6" s="121">
        <v>8</v>
      </c>
      <c r="I6" s="121">
        <f>Jawaban!O4</f>
        <v>4</v>
      </c>
      <c r="J6" s="121">
        <f>Jawaban!O123</f>
        <v>4</v>
      </c>
      <c r="K6" s="121">
        <f t="shared" ref="K6:K11" si="0">SUM(I6:J6)</f>
        <v>8</v>
      </c>
      <c r="L6" s="123">
        <f t="shared" ref="L6:L11" si="1">K6/H6</f>
        <v>1</v>
      </c>
      <c r="M6" s="123" t="str">
        <f t="shared" ref="M6:M11" si="2">IF(AND($B$2="WBK",L6&gt;=60%),"OK",IF(AND($B$2="WBBM",L6&gt;=75%),"OK","Tidak Lulus"))</f>
        <v>OK</v>
      </c>
      <c r="N6" s="12"/>
      <c r="O6" s="12"/>
      <c r="P6" s="12"/>
      <c r="Q6" s="12"/>
      <c r="R6" s="12"/>
      <c r="S6" s="12"/>
      <c r="T6" s="12"/>
      <c r="U6" s="12"/>
      <c r="V6" s="12"/>
      <c r="W6" s="12"/>
      <c r="X6" s="12"/>
      <c r="Y6" s="12"/>
      <c r="Z6" s="12"/>
    </row>
    <row r="7" ht="38.25" customHeight="1" spans="1:26">
      <c r="A7" s="12">
        <v>22</v>
      </c>
      <c r="B7" s="143"/>
      <c r="C7" s="143"/>
      <c r="D7" s="298" t="s">
        <v>13</v>
      </c>
      <c r="E7" s="236" t="s">
        <v>14</v>
      </c>
      <c r="F7" s="7"/>
      <c r="G7" s="8"/>
      <c r="H7" s="121">
        <v>7</v>
      </c>
      <c r="I7" s="121">
        <f>Jawaban!O21</f>
        <v>3.5</v>
      </c>
      <c r="J7" s="121">
        <f>Jawaban!O135</f>
        <v>3.5</v>
      </c>
      <c r="K7" s="121">
        <f t="shared" si="0"/>
        <v>7</v>
      </c>
      <c r="L7" s="123">
        <f t="shared" si="1"/>
        <v>1</v>
      </c>
      <c r="M7" s="123" t="str">
        <f t="shared" si="2"/>
        <v>OK</v>
      </c>
      <c r="N7" s="12"/>
      <c r="O7" s="12"/>
      <c r="P7" s="12"/>
      <c r="Q7" s="12"/>
      <c r="R7" s="12"/>
      <c r="S7" s="12"/>
      <c r="T7" s="12"/>
      <c r="U7" s="12"/>
      <c r="V7" s="12"/>
      <c r="W7" s="12"/>
      <c r="X7" s="12"/>
      <c r="Y7" s="12"/>
      <c r="Z7" s="12"/>
    </row>
    <row r="8" ht="38.25" customHeight="1" spans="1:26">
      <c r="A8" s="12">
        <v>35</v>
      </c>
      <c r="B8" s="143"/>
      <c r="C8" s="143"/>
      <c r="D8" s="298" t="s">
        <v>15</v>
      </c>
      <c r="E8" s="236" t="s">
        <v>16</v>
      </c>
      <c r="F8" s="7"/>
      <c r="G8" s="8"/>
      <c r="H8" s="121">
        <v>10</v>
      </c>
      <c r="I8" s="121">
        <f>Jawaban!O34</f>
        <v>5</v>
      </c>
      <c r="J8" s="121">
        <f>Jawaban!O145</f>
        <v>5</v>
      </c>
      <c r="K8" s="121">
        <f t="shared" si="0"/>
        <v>10</v>
      </c>
      <c r="L8" s="123">
        <f t="shared" si="1"/>
        <v>1</v>
      </c>
      <c r="M8" s="123" t="str">
        <f t="shared" si="2"/>
        <v>OK</v>
      </c>
      <c r="N8" s="12"/>
      <c r="O8" s="12"/>
      <c r="P8" s="12"/>
      <c r="Q8" s="12"/>
      <c r="R8" s="12"/>
      <c r="S8" s="12"/>
      <c r="T8" s="12"/>
      <c r="U8" s="12"/>
      <c r="V8" s="12"/>
      <c r="W8" s="12"/>
      <c r="X8" s="12"/>
      <c r="Y8" s="12"/>
      <c r="Z8" s="12"/>
    </row>
    <row r="9" ht="38.25" customHeight="1" spans="1:26">
      <c r="A9" s="12">
        <v>60</v>
      </c>
      <c r="B9" s="143"/>
      <c r="C9" s="143"/>
      <c r="D9" s="298" t="s">
        <v>17</v>
      </c>
      <c r="E9" s="236" t="s">
        <v>18</v>
      </c>
      <c r="F9" s="7"/>
      <c r="G9" s="8"/>
      <c r="H9" s="121">
        <v>10</v>
      </c>
      <c r="I9" s="121">
        <f>Jawaban!O59</f>
        <v>5</v>
      </c>
      <c r="J9" s="121">
        <f>Jawaban!O155</f>
        <v>5</v>
      </c>
      <c r="K9" s="121">
        <f t="shared" si="0"/>
        <v>10</v>
      </c>
      <c r="L9" s="123">
        <f t="shared" si="1"/>
        <v>1</v>
      </c>
      <c r="M9" s="123" t="str">
        <f t="shared" si="2"/>
        <v>OK</v>
      </c>
      <c r="N9" s="12"/>
      <c r="O9" s="12"/>
      <c r="P9" s="12"/>
      <c r="Q9" s="12"/>
      <c r="R9" s="12"/>
      <c r="S9" s="12"/>
      <c r="T9" s="12"/>
      <c r="U9" s="12"/>
      <c r="V9" s="12"/>
      <c r="W9" s="12"/>
      <c r="X9" s="12"/>
      <c r="Y9" s="12"/>
      <c r="Z9" s="12"/>
    </row>
    <row r="10" ht="38.25" customHeight="1" spans="1:26">
      <c r="A10" s="12">
        <v>74</v>
      </c>
      <c r="B10" s="143"/>
      <c r="C10" s="143"/>
      <c r="D10" s="298" t="s">
        <v>19</v>
      </c>
      <c r="E10" s="236" t="s">
        <v>20</v>
      </c>
      <c r="F10" s="7"/>
      <c r="G10" s="8"/>
      <c r="H10" s="121">
        <v>15</v>
      </c>
      <c r="I10" s="121">
        <f>Jawaban!O73</f>
        <v>7.5</v>
      </c>
      <c r="J10" s="121">
        <f>Jawaban!O164</f>
        <v>7.5</v>
      </c>
      <c r="K10" s="121">
        <f t="shared" si="0"/>
        <v>15</v>
      </c>
      <c r="L10" s="123">
        <f t="shared" si="1"/>
        <v>1</v>
      </c>
      <c r="M10" s="123" t="str">
        <f t="shared" si="2"/>
        <v>OK</v>
      </c>
      <c r="N10" s="12"/>
      <c r="O10" s="12"/>
      <c r="P10" s="12"/>
      <c r="Q10" s="12"/>
      <c r="R10" s="12"/>
      <c r="S10" s="12"/>
      <c r="T10" s="12"/>
      <c r="U10" s="12"/>
      <c r="V10" s="12"/>
      <c r="W10" s="12"/>
      <c r="X10" s="12"/>
      <c r="Y10" s="12"/>
      <c r="Z10" s="12"/>
    </row>
    <row r="11" ht="38.25" customHeight="1" spans="1:26">
      <c r="A11" s="12">
        <v>102</v>
      </c>
      <c r="B11" s="143"/>
      <c r="C11" s="143"/>
      <c r="D11" s="298" t="s">
        <v>21</v>
      </c>
      <c r="E11" s="236" t="s">
        <v>22</v>
      </c>
      <c r="F11" s="7"/>
      <c r="G11" s="8"/>
      <c r="H11" s="121">
        <v>10</v>
      </c>
      <c r="I11" s="121">
        <f>Jawaban!O97</f>
        <v>5</v>
      </c>
      <c r="J11" s="121">
        <f>Jawaban!O187</f>
        <v>5</v>
      </c>
      <c r="K11" s="121">
        <f t="shared" si="0"/>
        <v>10</v>
      </c>
      <c r="L11" s="123">
        <f t="shared" si="1"/>
        <v>1</v>
      </c>
      <c r="M11" s="123" t="str">
        <f t="shared" si="2"/>
        <v>OK</v>
      </c>
      <c r="N11" s="12"/>
      <c r="O11" s="12"/>
      <c r="P11" s="12"/>
      <c r="Q11" s="12"/>
      <c r="R11" s="12"/>
      <c r="S11" s="12"/>
      <c r="T11" s="12"/>
      <c r="U11" s="12"/>
      <c r="V11" s="12"/>
      <c r="W11" s="12"/>
      <c r="X11" s="12"/>
      <c r="Y11" s="12"/>
      <c r="Z11" s="12"/>
    </row>
    <row r="12" ht="31.5" customHeight="1" spans="1:26">
      <c r="A12" s="299">
        <v>211</v>
      </c>
      <c r="B12" s="300" t="s">
        <v>23</v>
      </c>
      <c r="C12" s="7"/>
      <c r="D12" s="7"/>
      <c r="E12" s="7"/>
      <c r="F12" s="7"/>
      <c r="G12" s="7"/>
      <c r="H12" s="8"/>
      <c r="I12" s="301"/>
      <c r="J12" s="301"/>
      <c r="K12" s="301">
        <f>SUM(K6:K11)</f>
        <v>60</v>
      </c>
      <c r="L12" s="302">
        <f>K12/H5</f>
        <v>1</v>
      </c>
      <c r="M12" s="302" t="str">
        <f>IF(AND($B$2="WBK",K12&gt;=40),"OK",IF(AND($B$2="WBBM",K12&gt;=48),"OK","Tidak Lulus"))</f>
        <v>OK</v>
      </c>
      <c r="N12" s="12"/>
      <c r="O12" s="12"/>
      <c r="P12" s="12"/>
      <c r="Q12" s="12"/>
      <c r="R12" s="12"/>
      <c r="S12" s="12"/>
      <c r="T12" s="12"/>
      <c r="U12" s="12"/>
      <c r="V12" s="12"/>
      <c r="W12" s="12"/>
      <c r="X12" s="12"/>
      <c r="Y12" s="12"/>
      <c r="Z12" s="12"/>
    </row>
    <row r="13" ht="15.75" spans="1:26">
      <c r="A13" s="12">
        <v>212</v>
      </c>
      <c r="B13" s="272"/>
      <c r="C13" s="272"/>
      <c r="D13" s="272"/>
      <c r="E13" s="273"/>
      <c r="F13" s="274"/>
      <c r="G13" s="275"/>
      <c r="H13" s="138"/>
      <c r="I13" s="139"/>
      <c r="J13" s="139"/>
      <c r="K13" s="139"/>
      <c r="L13" s="303"/>
      <c r="M13" s="303"/>
      <c r="N13" s="12"/>
      <c r="O13" s="12"/>
      <c r="P13" s="12"/>
      <c r="Q13" s="12"/>
      <c r="R13" s="12"/>
      <c r="S13" s="12"/>
      <c r="T13" s="12"/>
      <c r="U13" s="12"/>
      <c r="V13" s="12"/>
      <c r="W13" s="12"/>
      <c r="X13" s="12"/>
      <c r="Y13" s="12"/>
      <c r="Z13" s="12"/>
    </row>
    <row r="14" ht="24.75" customHeight="1" spans="1:26">
      <c r="A14" s="12">
        <v>214</v>
      </c>
      <c r="B14" s="293" t="s">
        <v>24</v>
      </c>
      <c r="C14" s="294" t="s">
        <v>25</v>
      </c>
      <c r="D14" s="7"/>
      <c r="E14" s="7"/>
      <c r="F14" s="7"/>
      <c r="G14" s="8"/>
      <c r="H14" s="304">
        <v>40</v>
      </c>
      <c r="I14" s="295"/>
      <c r="J14" s="295"/>
      <c r="K14" s="295"/>
      <c r="L14" s="296"/>
      <c r="M14" s="296"/>
      <c r="N14" s="12"/>
      <c r="O14" s="12"/>
      <c r="P14" s="12"/>
      <c r="Q14" s="12"/>
      <c r="R14" s="12"/>
      <c r="S14" s="12"/>
      <c r="T14" s="12"/>
      <c r="U14" s="12"/>
      <c r="V14" s="12"/>
      <c r="W14" s="12"/>
      <c r="X14" s="12"/>
      <c r="Y14" s="12"/>
      <c r="Z14" s="12"/>
    </row>
    <row r="15" ht="45" customHeight="1" spans="1:26">
      <c r="A15" s="299">
        <v>215</v>
      </c>
      <c r="B15" s="305"/>
      <c r="C15" s="306" t="s">
        <v>26</v>
      </c>
      <c r="D15" s="307" t="s">
        <v>27</v>
      </c>
      <c r="E15" s="7"/>
      <c r="F15" s="7"/>
      <c r="G15" s="8"/>
      <c r="H15" s="308">
        <v>22.5</v>
      </c>
      <c r="I15" s="308"/>
      <c r="J15" s="308"/>
      <c r="K15" s="308">
        <f>SUM(K16:K17)</f>
        <v>22.5</v>
      </c>
      <c r="L15" s="309">
        <f t="shared" ref="L15:L19" si="3">K15/H15</f>
        <v>1</v>
      </c>
      <c r="M15" s="309" t="str">
        <f>IF(AND($B$2="WBK",K15&gt;=18.25),"OK",IF(AND($B$2="WBBM",K15&gt;=19.5),"OK","Tidak Lulus"))</f>
        <v>OK</v>
      </c>
      <c r="N15" s="12"/>
      <c r="O15" s="12"/>
      <c r="P15" s="12"/>
      <c r="Q15" s="12"/>
      <c r="R15" s="12"/>
      <c r="S15" s="12"/>
      <c r="T15" s="12"/>
      <c r="U15" s="12"/>
      <c r="V15" s="12"/>
      <c r="W15" s="12"/>
      <c r="X15" s="12"/>
      <c r="Y15" s="12"/>
      <c r="Z15" s="12"/>
    </row>
    <row r="16" ht="45" customHeight="1" spans="1:26">
      <c r="A16" s="12">
        <v>216</v>
      </c>
      <c r="B16" s="143"/>
      <c r="C16" s="297"/>
      <c r="D16" s="319" t="s">
        <v>28</v>
      </c>
      <c r="E16" s="236" t="s">
        <v>29</v>
      </c>
      <c r="F16" s="7"/>
      <c r="G16" s="8"/>
      <c r="H16" s="121">
        <v>17.5</v>
      </c>
      <c r="I16" s="311"/>
      <c r="J16" s="311"/>
      <c r="K16" s="311">
        <f>Jawaban!O199</f>
        <v>17.5</v>
      </c>
      <c r="L16" s="312">
        <f t="shared" si="3"/>
        <v>1</v>
      </c>
      <c r="M16" s="312" t="str">
        <f>IF(AND($B$2="WBK",K16&gt;=15.75),"OK",IF(AND($B$2="WBBM",K16&gt;=15.75),"OK","Tidak Lulus"))</f>
        <v>OK</v>
      </c>
      <c r="N16" s="12"/>
      <c r="O16" s="12"/>
      <c r="P16" s="12"/>
      <c r="Q16" s="12"/>
      <c r="R16" s="12"/>
      <c r="S16" s="12"/>
      <c r="T16" s="12"/>
      <c r="U16" s="12"/>
      <c r="V16" s="12"/>
      <c r="W16" s="12"/>
      <c r="X16" s="12"/>
      <c r="Y16" s="12"/>
      <c r="Z16" s="12"/>
    </row>
    <row r="17" ht="45" customHeight="1" spans="1:26">
      <c r="A17" s="12">
        <v>218</v>
      </c>
      <c r="B17" s="143"/>
      <c r="C17" s="297"/>
      <c r="D17" s="319" t="s">
        <v>30</v>
      </c>
      <c r="E17" s="236" t="s">
        <v>31</v>
      </c>
      <c r="F17" s="7"/>
      <c r="G17" s="8"/>
      <c r="H17" s="121">
        <v>5</v>
      </c>
      <c r="I17" s="311"/>
      <c r="J17" s="311"/>
      <c r="K17" s="311">
        <f>Jawaban!O200</f>
        <v>5</v>
      </c>
      <c r="L17" s="312">
        <f t="shared" si="3"/>
        <v>1</v>
      </c>
      <c r="M17" s="312" t="str">
        <f>IF(AND($B$2="WBK",K17&gt;=2.5),"OK",IF(AND($B$2="WBBM",K17&gt;=3.75),"OK","Tidak Lulus"))</f>
        <v>OK</v>
      </c>
      <c r="N17" s="12"/>
      <c r="O17" s="12"/>
      <c r="P17" s="12"/>
      <c r="Q17" s="12"/>
      <c r="R17" s="12"/>
      <c r="S17" s="12"/>
      <c r="T17" s="12"/>
      <c r="U17" s="12"/>
      <c r="V17" s="12"/>
      <c r="W17" s="12"/>
      <c r="X17" s="12"/>
      <c r="Y17" s="12"/>
      <c r="Z17" s="12"/>
    </row>
    <row r="18" ht="45" customHeight="1" spans="1:26">
      <c r="A18" s="299">
        <v>219</v>
      </c>
      <c r="B18" s="305"/>
      <c r="C18" s="306" t="s">
        <v>32</v>
      </c>
      <c r="D18" s="307" t="s">
        <v>33</v>
      </c>
      <c r="E18" s="7"/>
      <c r="F18" s="7"/>
      <c r="G18" s="8"/>
      <c r="H18" s="308">
        <v>17.5</v>
      </c>
      <c r="I18" s="308"/>
      <c r="J18" s="308"/>
      <c r="K18" s="308">
        <f>SUM(K19)</f>
        <v>17.5</v>
      </c>
      <c r="L18" s="309">
        <f t="shared" si="3"/>
        <v>1</v>
      </c>
      <c r="M18" s="309"/>
      <c r="N18" s="12"/>
      <c r="O18" s="12"/>
      <c r="P18" s="12"/>
      <c r="Q18" s="12"/>
      <c r="R18" s="12"/>
      <c r="S18" s="12"/>
      <c r="T18" s="12"/>
      <c r="U18" s="12"/>
      <c r="V18" s="12"/>
      <c r="W18" s="12"/>
      <c r="X18" s="12"/>
      <c r="Y18" s="12"/>
      <c r="Z18" s="12"/>
    </row>
    <row r="19" ht="45" customHeight="1" spans="1:26">
      <c r="A19" s="12">
        <v>221</v>
      </c>
      <c r="B19" s="143"/>
      <c r="C19" s="297"/>
      <c r="D19" s="319" t="s">
        <v>34</v>
      </c>
      <c r="E19" s="236" t="s">
        <v>35</v>
      </c>
      <c r="F19" s="7"/>
      <c r="G19" s="8"/>
      <c r="H19" s="121">
        <v>17.5</v>
      </c>
      <c r="I19" s="311"/>
      <c r="J19" s="311"/>
      <c r="K19" s="311">
        <f>Jawaban!O202</f>
        <v>17.5</v>
      </c>
      <c r="L19" s="312">
        <f t="shared" si="3"/>
        <v>1</v>
      </c>
      <c r="M19" s="312" t="str">
        <f>IF(AND($B$2="WBK",K19&gt;=14),"OK",IF(AND($B$2="WBBM",K19&gt;=15.75),"OK","Tidak Lulus"))</f>
        <v>OK</v>
      </c>
      <c r="N19" s="12"/>
      <c r="O19" s="12"/>
      <c r="P19" s="12"/>
      <c r="Q19" s="12"/>
      <c r="R19" s="12"/>
      <c r="S19" s="12"/>
      <c r="T19" s="12"/>
      <c r="U19" s="12"/>
      <c r="V19" s="12"/>
      <c r="W19" s="12"/>
      <c r="X19" s="12"/>
      <c r="Y19" s="12"/>
      <c r="Z19" s="12"/>
    </row>
    <row r="20" ht="48" customHeight="1" spans="1:26">
      <c r="A20" s="12">
        <v>222</v>
      </c>
      <c r="B20" s="313" t="s">
        <v>36</v>
      </c>
      <c r="C20" s="7"/>
      <c r="D20" s="7"/>
      <c r="E20" s="7"/>
      <c r="F20" s="7"/>
      <c r="G20" s="7"/>
      <c r="H20" s="8"/>
      <c r="I20" s="295"/>
      <c r="J20" s="295"/>
      <c r="K20" s="295">
        <f>SUM(K15,K18)</f>
        <v>40</v>
      </c>
      <c r="L20" s="296">
        <f>K20/H14</f>
        <v>1</v>
      </c>
      <c r="M20" s="296"/>
      <c r="N20" s="12"/>
      <c r="O20" s="12"/>
      <c r="P20" s="12"/>
      <c r="Q20" s="12"/>
      <c r="R20" s="12"/>
      <c r="S20" s="12"/>
      <c r="T20" s="12"/>
      <c r="U20" s="12"/>
      <c r="V20" s="12"/>
      <c r="W20" s="12"/>
      <c r="X20" s="12"/>
      <c r="Y20" s="12"/>
      <c r="Z20" s="12"/>
    </row>
    <row r="21" ht="15.75" customHeight="1" spans="1:26">
      <c r="A21" s="12">
        <v>223</v>
      </c>
      <c r="B21" s="12"/>
      <c r="C21" s="12"/>
      <c r="D21" s="12"/>
      <c r="E21" s="12"/>
      <c r="F21" s="12"/>
      <c r="G21" s="12"/>
      <c r="H21" s="139"/>
      <c r="I21" s="139"/>
      <c r="J21" s="139"/>
      <c r="K21" s="139"/>
      <c r="L21" s="139"/>
      <c r="M21" s="139"/>
      <c r="N21" s="12"/>
      <c r="O21" s="12"/>
      <c r="P21" s="12"/>
      <c r="Q21" s="12"/>
      <c r="R21" s="12"/>
      <c r="S21" s="12"/>
      <c r="T21" s="12"/>
      <c r="U21" s="12"/>
      <c r="V21" s="12"/>
      <c r="W21" s="12"/>
      <c r="X21" s="12"/>
      <c r="Y21" s="12"/>
      <c r="Z21" s="12"/>
    </row>
    <row r="22" ht="46.5" customHeight="1" spans="1:26">
      <c r="A22" s="12"/>
      <c r="B22" s="314" t="s">
        <v>37</v>
      </c>
      <c r="C22" s="315"/>
      <c r="D22" s="315"/>
      <c r="E22" s="315"/>
      <c r="F22" s="315"/>
      <c r="G22" s="315"/>
      <c r="H22" s="315"/>
      <c r="I22" s="316"/>
      <c r="J22" s="316"/>
      <c r="K22" s="317">
        <f>Jawaban!O204</f>
        <v>100</v>
      </c>
      <c r="L22" s="318"/>
      <c r="M22" s="318" t="str">
        <f>IF(AND($B$2="WBK",K22&gt;=75),"OK",IF(AND($B$2="WBBM",K22&gt;=85),"OK","Tidak Lulus"))</f>
        <v>OK</v>
      </c>
      <c r="N22" s="12"/>
      <c r="O22" s="12"/>
      <c r="P22" s="12"/>
      <c r="Q22" s="12"/>
      <c r="R22" s="12"/>
      <c r="S22" s="12"/>
      <c r="T22" s="12"/>
      <c r="U22" s="12"/>
      <c r="V22" s="12"/>
      <c r="W22" s="12"/>
      <c r="X22" s="12"/>
      <c r="Y22" s="12"/>
      <c r="Z22" s="12"/>
    </row>
    <row r="23" ht="15.75" customHeight="1" spans="1:26">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ht="15.75" customHeight="1" spans="1:26">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ht="15.75" customHeight="1" spans="1:26">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ht="15.75" customHeight="1" spans="1:26">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ht="15.75" customHeight="1" spans="1:26">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ht="15.75" customHeight="1" spans="1:26">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ht="15.75" customHeight="1" spans="1:26">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ht="15.75" customHeight="1" spans="1:26">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ht="15.75" customHeight="1" spans="1:26">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ht="15.75" customHeight="1" spans="1:26">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ht="15.75" customHeight="1" spans="1:26">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ht="15.75" customHeight="1" spans="1:26">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ht="15.75" customHeight="1" spans="1:26">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ht="15.75" customHeight="1" spans="1:26">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ht="15.75" customHeight="1" spans="1:26">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ht="15.75" customHeight="1" spans="1:26">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ht="15.75" customHeight="1" spans="1:26">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ht="15.75" customHeight="1" spans="1:26">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ht="15.75" customHeight="1" spans="1:26">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ht="15.75" customHeight="1" spans="1:26">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ht="15.75" customHeight="1" spans="1:26">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ht="15.75" customHeight="1" spans="1:26">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ht="15.75" customHeight="1" spans="1:26">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ht="15.75" customHeight="1" spans="1:26">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ht="15.75" customHeight="1" spans="1:26">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ht="15.75" customHeight="1" spans="1:26">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ht="15.75" customHeight="1" spans="1:26">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ht="15.75" customHeight="1" spans="1:26">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ht="15.75" customHeight="1" spans="1:26">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ht="15.75" customHeight="1" spans="1:26">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ht="15.75" customHeight="1" spans="1:26">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ht="15.75" customHeight="1" spans="1:26">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ht="15.75" customHeight="1" spans="1:26">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ht="15.75" customHeight="1" spans="1:2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ht="15.75" customHeight="1" spans="1:26">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ht="15.75" customHeight="1" spans="1:26">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ht="15.75" customHeight="1" spans="1:26">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ht="15.75" customHeight="1" spans="1:26">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ht="15.75" customHeight="1" spans="1:26">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ht="15.75" customHeight="1" spans="1:26">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ht="15.75" customHeight="1" spans="1:26">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ht="15.75" customHeight="1" spans="1:26">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ht="15.75" customHeight="1" spans="1:26">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ht="15.75" customHeight="1" spans="1:2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ht="15.75" customHeight="1" spans="1:26">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ht="15.75" customHeight="1" spans="1:26">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ht="15.75" customHeight="1" spans="1:26">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ht="15.75" customHeight="1" spans="1:26">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ht="15.75" customHeight="1" spans="1:26">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15.75" customHeight="1" spans="1:26">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ht="15.75" customHeight="1" spans="1:26">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15.75" customHeight="1" spans="1:26">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t="15.75" customHeight="1" spans="1:26">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15.75" customHeight="1" spans="1:2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15.75" customHeight="1" spans="1:26">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15.75" customHeight="1" spans="1:26">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15.75" customHeight="1" spans="1:26">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15.75" customHeight="1" spans="1:26">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15.75" customHeight="1" spans="1:26">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15.75" customHeight="1" spans="1:26">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15.75" customHeight="1" spans="1:26">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15.75" customHeight="1" spans="1:26">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15.75" customHeight="1" spans="1:26">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5.75" customHeight="1" spans="1:2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5.75" customHeight="1" spans="1:26">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5.75" customHeight="1" spans="1:26">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5.75" customHeight="1" spans="1:26">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5.75" customHeight="1" spans="1:26">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5.75" customHeight="1" spans="1:26">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5.75" customHeight="1" spans="1:26">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5.75" customHeight="1" spans="1:26">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5.75" customHeight="1" spans="1:26">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5.75" customHeight="1" spans="1:26">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5.75" customHeight="1" spans="1:2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5.75" customHeight="1" spans="1:26">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5.75" customHeight="1" spans="1:26">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5.75" customHeight="1" spans="1:26">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5.75" customHeight="1" spans="1:26">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5.75" customHeight="1" spans="1:26">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5.75" customHeight="1" spans="1:26">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5.75" customHeight="1" spans="1:26">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5.75" customHeight="1" spans="1:26">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5.75" customHeight="1" spans="1:26">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5.75" customHeight="1" spans="1:2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5.75" customHeight="1" spans="1:26">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5.75" customHeight="1" spans="1:26">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5.75" customHeight="1" spans="1:26">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5.75" customHeight="1" spans="1:26">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5.75" customHeight="1" spans="1:26">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5.75" customHeight="1" spans="1:26">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5.75" customHeight="1" spans="1:26">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5.75" customHeight="1" spans="1:26">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5.75" customHeight="1" spans="1:26">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5.75" customHeight="1" spans="1:2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5.75" customHeight="1" spans="1:26">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5.75" customHeight="1" spans="1:26">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5.75" customHeight="1" spans="1:26">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5.75" customHeight="1" spans="1:26">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5.75" customHeight="1" spans="1:26">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5.75" customHeight="1" spans="1:26">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5.75" customHeight="1" spans="1:26">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5.75" customHeight="1" spans="1:26">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5.75" customHeight="1" spans="1:26">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5.75" customHeight="1" spans="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5.75" customHeight="1" spans="1:26">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5.75" customHeight="1" spans="1:26">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5.75" customHeight="1" spans="1:26">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5.75" customHeight="1" spans="1:26">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5.75" customHeight="1" spans="1:26">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5.75" customHeight="1" spans="1:26">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5.75" customHeight="1" spans="1:26">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5.75" customHeight="1" spans="1:26">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5.75" customHeight="1" spans="1:26">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5.75" customHeight="1" spans="1:2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5.75" customHeight="1" spans="1:26">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5.75" customHeight="1" spans="1:26">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5.75" customHeight="1" spans="1:26">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5.75" customHeight="1" spans="1:26">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5.75" customHeight="1" spans="1:26">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5.75" customHeight="1" spans="1:26">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5.75" customHeight="1" spans="1:26">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5.75" customHeight="1" spans="1:26">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5.75" customHeight="1" spans="1:26">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5.75" customHeight="1" spans="1:2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5.75" customHeight="1" spans="1:26">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5.75" customHeight="1" spans="1:26">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5.75" customHeight="1" spans="1:26">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5.75" customHeight="1" spans="1:26">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5.75" customHeight="1" spans="1:26">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5.75" customHeight="1" spans="1:26">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5.75" customHeight="1" spans="1:26">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5.75" customHeight="1" spans="1:26">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5.75" customHeight="1" spans="1:26">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5.75" customHeight="1" spans="1:2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5.75" customHeight="1" spans="1:26">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5.75" customHeight="1" spans="1:26">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5.75" customHeight="1" spans="1:26">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5.75" customHeight="1" spans="1:26">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5.75" customHeight="1" spans="1:26">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5.75" customHeight="1" spans="1:26">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5.75" customHeight="1" spans="1:26">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5.75" customHeight="1" spans="1:26">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5.75" customHeight="1" spans="1:26">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5.75" customHeight="1" spans="1:2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5.75" customHeight="1" spans="1:26">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5.75" customHeight="1" spans="1:26">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5.75" customHeight="1" spans="1:26">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5.75" customHeight="1" spans="1:26">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5.75" customHeight="1" spans="1:26">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5.75" customHeight="1" spans="1:26">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5.75" customHeight="1" spans="1:26">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5.75" customHeight="1" spans="1:26">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5.75" customHeight="1" spans="1:26">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5.75" customHeight="1" spans="1:2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5.75" customHeight="1" spans="1:26">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5.75" customHeight="1" spans="1:26">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5.75" customHeight="1" spans="1:26">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5.75" customHeight="1" spans="1:26">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5.75" customHeight="1" spans="1:26">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5.75" customHeight="1" spans="1:26">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5.75" customHeight="1" spans="1:26">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5.75" customHeight="1" spans="1:26">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5.75" customHeight="1" spans="1:26">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5.75" customHeight="1" spans="1:2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5.75" customHeight="1" spans="1:26">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5.75" customHeight="1" spans="1:26">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5.75" customHeight="1" spans="1:26">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5.75" customHeight="1" spans="1:26">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5.75" customHeight="1" spans="1:26">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5.75" customHeight="1" spans="1:26">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5.75" customHeight="1" spans="1:26">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5.75" customHeight="1" spans="1:26">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5.75" customHeight="1" spans="1:26">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5.75" customHeight="1" spans="1:2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5.75" customHeight="1" spans="1:26">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5.75" customHeight="1" spans="1:26">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5.75" customHeight="1" spans="1:26">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5.75" customHeight="1" spans="1:26">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5.75" customHeight="1" spans="1:26">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5.75" customHeight="1" spans="1:26">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5.75" customHeight="1" spans="1:26">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5.75" customHeight="1" spans="1:26">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5.75" customHeight="1" spans="1:26">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5.75" customHeight="1" spans="1:2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5.75" customHeight="1" spans="1:26">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5.75" customHeight="1" spans="1:26">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5.75" customHeight="1" spans="1:26">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5.75" customHeight="1" spans="1:26">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5.75" customHeight="1" spans="1:26">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5.75" customHeight="1" spans="1:26">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5.75" customHeight="1" spans="1:26">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5.75" customHeight="1" spans="1:26">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5.75" customHeight="1" spans="1:26">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5.75" customHeight="1" spans="1:2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5.75" customHeight="1" spans="1:26">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5.75" customHeight="1" spans="1:26">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5.75" customHeight="1" spans="1:26">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5.75" customHeight="1" spans="1:26">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5.75" customHeight="1" spans="1:26">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5.75" customHeight="1" spans="1:26">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5.75" customHeight="1" spans="1:26">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5.75" customHeight="1" spans="1:26">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5.75" customHeight="1" spans="1:26">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5.75" customHeight="1" spans="1: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5.75" customHeight="1" spans="1:26">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5.75" customHeight="1" spans="1:26">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5.75" customHeight="1" spans="1:26">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5.75" customHeight="1" spans="1:26">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5.75" customHeight="1" spans="1:26">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5.75" customHeight="1" spans="1:26">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5.75" customHeight="1" spans="1:26">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5.75" customHeight="1" spans="1:26">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5.75" customHeight="1" spans="1:26">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5.75" customHeight="1" spans="1:2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5.75" customHeight="1" spans="1:26">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5.75" customHeight="1" spans="1:26">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5.75" customHeight="1" spans="1:26">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5.75" customHeight="1" spans="1:26">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5.75" customHeight="1" spans="1:26">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5.75" customHeight="1" spans="1:26">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5.75" customHeight="1" spans="1:26">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5.75" customHeight="1" spans="1:26">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5.75" customHeight="1" spans="1:26">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5.75" customHeight="1" spans="1:2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5.75" customHeight="1" spans="1:26">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5.75" customHeight="1" spans="1:26">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5.75" customHeight="1" spans="1:26">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5.75" customHeight="1" spans="1:26">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5.75" customHeight="1" spans="1:26">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5.75" customHeight="1" spans="1:26">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5.75" customHeight="1" spans="1:26">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5.75" customHeight="1" spans="1:26">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5.75" customHeight="1" spans="1:26">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5.75" customHeight="1" spans="1:2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5.75" customHeight="1" spans="1:26">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5.75" customHeight="1" spans="1:26">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5.75" customHeight="1" spans="1:26">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5.75" customHeight="1" spans="1:26">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5.75" customHeight="1" spans="1:26">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5.75" customHeight="1" spans="1:26">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5.75" customHeight="1" spans="1:26">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5.75" customHeight="1" spans="1:26">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5.75" customHeight="1" spans="1:26">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5.75" customHeight="1" spans="1:2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5.75" customHeight="1" spans="1:26">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5.75" customHeight="1" spans="1:26">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5.75" customHeight="1" spans="1:26">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5.75" customHeight="1" spans="1:26">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5.75" customHeight="1" spans="1:26">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5.75" customHeight="1" spans="1:26">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5.75" customHeight="1" spans="1:26">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5.75" customHeight="1" spans="1:26">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5.75" customHeight="1" spans="1:26">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5.75" customHeight="1" spans="1:2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5.75" customHeight="1" spans="1:26">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5.75" customHeight="1" spans="1:26">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5.75" customHeight="1" spans="1:26">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5.75" customHeight="1" spans="1:26">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5.75" customHeight="1" spans="1:26">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5.75" customHeight="1" spans="1:26">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5.75" customHeight="1" spans="1:26">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5.75" customHeight="1" spans="1:26">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5.75" customHeight="1" spans="1:26">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5.75" customHeight="1" spans="1:2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5.75" customHeight="1" spans="1:26">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5.75" customHeight="1" spans="1:26">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5.75" customHeight="1" spans="1:26">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5.75" customHeight="1" spans="1:26">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5.75" customHeight="1" spans="1:26">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5.75" customHeight="1" spans="1:26">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5.75" customHeight="1" spans="1:26">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5.75" customHeight="1" spans="1:26">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5.75" customHeight="1" spans="1:26">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5.75" customHeight="1" spans="1:2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5.75" customHeight="1" spans="1:26">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5.75" customHeight="1" spans="1:26">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5.75" customHeight="1" spans="1:26">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5.75" customHeight="1" spans="1:26">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5.75" customHeight="1" spans="1:26">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5.75" customHeight="1" spans="1:26">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5.75" customHeight="1" spans="1:26">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5.75" customHeight="1" spans="1:26">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5.75" customHeight="1" spans="1:26">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5.75" customHeight="1" spans="1:2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5.75" customHeight="1" spans="1:26">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5.75" customHeight="1" spans="1:26">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5.75" customHeight="1" spans="1:26">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5.75" customHeight="1" spans="1:26">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5.75" customHeight="1" spans="1:26">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5.75" customHeight="1" spans="1:26">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5.75" customHeight="1" spans="1:26">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5.75" customHeight="1" spans="1:26">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5.75" customHeight="1" spans="1:26">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5.75" customHeight="1" spans="1:2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5.75" customHeight="1" spans="1:26">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5.75" customHeight="1" spans="1:26">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5.75" customHeight="1" spans="1:26">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5.75" customHeight="1" spans="1:26">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5.75" customHeight="1" spans="1:26">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5.75" customHeight="1" spans="1:26">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5.75" customHeight="1" spans="1:26">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5.75" customHeight="1" spans="1:26">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5.75" customHeight="1" spans="1:26">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5.75" customHeight="1" spans="1: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5.75" customHeight="1" spans="1:26">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5.75" customHeight="1" spans="1:26">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5.75" customHeight="1" spans="1:26">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5.75" customHeight="1" spans="1:26">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5.75" customHeight="1" spans="1:26">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5.75" customHeight="1" spans="1:26">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5.75" customHeight="1" spans="1:26">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5.75" customHeight="1" spans="1:26">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5.75" customHeight="1" spans="1:26">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5.75" customHeight="1" spans="1:2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5.75" customHeight="1" spans="1:26">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5.75" customHeight="1" spans="1:26">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5.75" customHeight="1" spans="1:26">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5.75" customHeight="1" spans="1:26">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5.75" customHeight="1" spans="1:26">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5.75" customHeight="1" spans="1:26">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5.75" customHeight="1" spans="1:26">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5.75" customHeight="1" spans="1:26">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5.75" customHeight="1" spans="1:26">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5.75" customHeight="1" spans="1:2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5.75" customHeight="1" spans="1:26">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5.75" customHeight="1" spans="1:26">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5.75" customHeight="1" spans="1:26">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5.75" customHeight="1" spans="1:26">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5.75" customHeight="1" spans="1:26">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5.75" customHeight="1" spans="1:26">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5.75" customHeight="1" spans="1:26">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5.75" customHeight="1" spans="1:26">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5.75" customHeight="1" spans="1:26">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5.75" customHeight="1" spans="1:2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5.75" customHeight="1" spans="1:26">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5.75" customHeight="1" spans="1:26">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5.75" customHeight="1" spans="1:26">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5.75" customHeight="1" spans="1:26">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5.75" customHeight="1" spans="1:26">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5.75" customHeight="1" spans="1:26">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5.75" customHeight="1" spans="1:26">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5.75" customHeight="1" spans="1:26">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5.75" customHeight="1" spans="1:26">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5.75" customHeight="1" spans="1:2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5.75" customHeight="1" spans="1:26">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5.75" customHeight="1" spans="1:26">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5.75" customHeight="1" spans="1:26">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5.75" customHeight="1" spans="1:26">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5.75" customHeight="1" spans="1:26">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5.75" customHeight="1" spans="1:26">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5.75" customHeight="1" spans="1:26">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5.75" customHeight="1" spans="1:26">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5.75" customHeight="1" spans="1:26">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5.75" customHeight="1" spans="1:2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5.75" customHeight="1" spans="1:26">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5.75" customHeight="1" spans="1:26">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5.75" customHeight="1" spans="1:26">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5.75" customHeight="1" spans="1:26">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5.75" customHeight="1" spans="1:26">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5.75" customHeight="1" spans="1:26">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5.75" customHeight="1" spans="1:26">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5.75" customHeight="1" spans="1:26">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5.75" customHeight="1" spans="1:26">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5.75" customHeight="1" spans="1:2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5.75" customHeight="1" spans="1:26">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5.75" customHeight="1" spans="1:26">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5.75" customHeight="1" spans="1:26">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5.75" customHeight="1" spans="1:26">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5.75" customHeight="1" spans="1:26">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5.75" customHeight="1" spans="1:26">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5.75" customHeight="1" spans="1:26">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5.75" customHeight="1" spans="1:26">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5.75" customHeight="1" spans="1:26">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5.75" customHeight="1" spans="1:2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5.75" customHeight="1" spans="1:26">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5.75" customHeight="1" spans="1:26">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5.75" customHeight="1" spans="1:26">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5.75" customHeight="1" spans="1:26">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5.75" customHeight="1" spans="1:26">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5.75" customHeight="1" spans="1:26">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5.75" customHeight="1" spans="1:26">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5.75" customHeight="1" spans="1:26">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5.75" customHeight="1" spans="1:26">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5.75" customHeight="1" spans="1:2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5.75" customHeight="1" spans="1:26">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5.75" customHeight="1" spans="1:26">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5.75" customHeight="1" spans="1:26">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5.75" customHeight="1" spans="1:26">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5.75" customHeight="1" spans="1:26">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5.75" customHeight="1" spans="1:26">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5.75" customHeight="1" spans="1:26">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5.75" customHeight="1" spans="1:26">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5.75" customHeight="1" spans="1:26">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5.75" customHeight="1" spans="1:2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5.75" customHeight="1" spans="1:26">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5.75" customHeight="1" spans="1:26">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5.75" customHeight="1" spans="1:26">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5.75" customHeight="1" spans="1:26">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5.75" customHeight="1" spans="1:26">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5.75" customHeight="1" spans="1:26">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5.75" customHeight="1" spans="1:26">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5.75" customHeight="1" spans="1:26">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5.75" customHeight="1" spans="1:26">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5.75" customHeight="1" spans="1: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5.75" customHeight="1" spans="1:26">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5.75" customHeight="1" spans="1:26">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5.75" customHeight="1" spans="1:26">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5.75" customHeight="1" spans="1:26">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5.75" customHeight="1" spans="1:26">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5.75" customHeight="1" spans="1:26">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5.75" customHeight="1" spans="1:26">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5.75" customHeight="1" spans="1:26">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5.75" customHeight="1" spans="1:26">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5.75" customHeight="1" spans="1:2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5.75" customHeight="1" spans="1:26">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5.75" customHeight="1" spans="1:26">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5.75" customHeight="1" spans="1:26">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5.75" customHeight="1" spans="1:26">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5.75" customHeight="1" spans="1:26">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5.75" customHeight="1" spans="1:26">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5.75" customHeight="1" spans="1:26">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5.75" customHeight="1" spans="1:26">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5.75" customHeight="1" spans="1:26">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5.75" customHeight="1" spans="1:2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5.75" customHeight="1" spans="1:26">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5.75" customHeight="1" spans="1:26">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5.75" customHeight="1" spans="1:26">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5.75" customHeight="1" spans="1:26">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5.75" customHeight="1" spans="1:26">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5.75" customHeight="1" spans="1:26">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5.75" customHeight="1" spans="1:26">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5.75" customHeight="1" spans="1:26">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5.75" customHeight="1" spans="1:26">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5.75" customHeight="1" spans="1:2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5.75" customHeight="1" spans="1:26">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5.75" customHeight="1" spans="1:26">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5.75" customHeight="1" spans="1:26">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5.75" customHeight="1" spans="1:26">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5.75" customHeight="1" spans="1:26">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5.75" customHeight="1" spans="1:26">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5.75" customHeight="1" spans="1:26">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5.75" customHeight="1" spans="1:26">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5.75" customHeight="1" spans="1:26">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5.75" customHeight="1" spans="1:2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5.75" customHeight="1" spans="1:26">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5.75" customHeight="1" spans="1:26">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5.75" customHeight="1" spans="1:26">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5.75" customHeight="1" spans="1:26">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5.75" customHeight="1" spans="1:26">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5.75" customHeight="1" spans="1:26">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5.75" customHeight="1" spans="1:26">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5.75" customHeight="1" spans="1:26">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5.75" customHeight="1" spans="1:26">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5.75" customHeight="1" spans="1:2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5.75" customHeight="1" spans="1:26">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5.75" customHeight="1" spans="1:26">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5.75" customHeight="1" spans="1:26">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5.75" customHeight="1" spans="1:26">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5.75" customHeight="1" spans="1:26">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5.75" customHeight="1" spans="1:26">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5.75" customHeight="1" spans="1:26">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5.75" customHeight="1" spans="1:26">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5.75" customHeight="1" spans="1:26">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5.75" customHeight="1" spans="1:2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5.75" customHeight="1" spans="1:26">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5.75" customHeight="1" spans="1:26">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5.75" customHeight="1" spans="1:26">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5.75" customHeight="1" spans="1:26">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5.75" customHeight="1" spans="1:26">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5.75" customHeight="1" spans="1:26">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5.75" customHeight="1" spans="1:26">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5.75" customHeight="1" spans="1:26">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5.75" customHeight="1" spans="1:26">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5.75" customHeight="1" spans="1:2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5.75" customHeight="1" spans="1:26">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5.75" customHeight="1" spans="1:26">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5.75" customHeight="1" spans="1:26">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5.75" customHeight="1" spans="1:26">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5.75" customHeight="1" spans="1:26">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5.75" customHeight="1" spans="1:26">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5.75" customHeight="1" spans="1:26">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5.75" customHeight="1" spans="1:26">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5.75" customHeight="1" spans="1:26">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5.75" customHeight="1" spans="1:2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5.75" customHeight="1" spans="1:26">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5.75" customHeight="1" spans="1:26">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5.75" customHeight="1" spans="1:26">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5.75" customHeight="1" spans="1:26">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5.75" customHeight="1" spans="1:26">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5.75" customHeight="1" spans="1:26">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5.75" customHeight="1" spans="1:26">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5.75" customHeight="1" spans="1:26">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5.75" customHeight="1" spans="1:26">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5.75" customHeight="1" spans="1:2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5.75" customHeight="1" spans="1:26">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5.75" customHeight="1" spans="1:26">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5.75" customHeight="1" spans="1:26">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5.75" customHeight="1" spans="1:26">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5.75" customHeight="1" spans="1:26">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5.75" customHeight="1" spans="1:26">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5.75" customHeight="1" spans="1:26">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5.75" customHeight="1" spans="1:26">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5.75" customHeight="1" spans="1:26">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5.75" customHeight="1" spans="1: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5.75" customHeight="1" spans="1:26">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5.75" customHeight="1" spans="1:26">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5.75" customHeight="1" spans="1:26">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5.75" customHeight="1" spans="1:26">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5.75" customHeight="1" spans="1:26">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5.75" customHeight="1" spans="1:26">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5.75" customHeight="1" spans="1:26">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5.75" customHeight="1" spans="1:26">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5.75" customHeight="1" spans="1:26">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5.75" customHeight="1" spans="1:2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5.75" customHeight="1" spans="1:26">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5.75" customHeight="1" spans="1:26">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5.75" customHeight="1" spans="1:26">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5.75" customHeight="1" spans="1:26">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5.75" customHeight="1" spans="1:26">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5.75" customHeight="1" spans="1:26">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5.75" customHeight="1" spans="1:26">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5.75" customHeight="1" spans="1:26">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5.75" customHeight="1" spans="1:26">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5.75" customHeight="1" spans="1:2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5.75" customHeight="1" spans="1:26">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5.75" customHeight="1" spans="1:26">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5.75" customHeight="1" spans="1:26">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5.75" customHeight="1" spans="1:26">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5.75" customHeight="1" spans="1:26">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5.75" customHeight="1" spans="1:26">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5.75" customHeight="1" spans="1:26">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5.75" customHeight="1" spans="1:26">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5.75" customHeight="1" spans="1:26">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5.75" customHeight="1" spans="1:2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5.75" customHeight="1" spans="1:26">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5.75" customHeight="1" spans="1:26">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5.75" customHeight="1" spans="1:26">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5.75" customHeight="1" spans="1:26">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5.75" customHeight="1" spans="1:26">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5.75" customHeight="1" spans="1:26">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5.75" customHeight="1" spans="1:26">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5.75" customHeight="1" spans="1:26">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5.75" customHeight="1" spans="1:26">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5.75" customHeight="1" spans="1:2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5.75" customHeight="1" spans="1:26">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5.75" customHeight="1" spans="1:26">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5.75" customHeight="1" spans="1:26">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5.75" customHeight="1" spans="1:26">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5.75" customHeight="1" spans="1:26">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5.75" customHeight="1" spans="1:26">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5.75" customHeight="1" spans="1:26">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5.75" customHeight="1" spans="1:26">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5.75" customHeight="1" spans="1:26">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5.75" customHeight="1" spans="1:2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5.75" customHeight="1" spans="1:26">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5.75" customHeight="1" spans="1:26">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5.75" customHeight="1" spans="1:26">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5.75" customHeight="1" spans="1:26">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5.75" customHeight="1" spans="1:26">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5.75" customHeight="1" spans="1:26">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5.75" customHeight="1" spans="1:26">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5.75" customHeight="1" spans="1:26">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5.75" customHeight="1" spans="1:26">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5.75" customHeight="1" spans="1:2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5.75" customHeight="1" spans="1:26">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5.75" customHeight="1" spans="1:26">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5.75" customHeight="1" spans="1:26">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5.75" customHeight="1" spans="1:26">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5.75" customHeight="1" spans="1:26">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5.75" customHeight="1" spans="1:26">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5.75" customHeight="1" spans="1:26">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5.75" customHeight="1" spans="1:26">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5.75" customHeight="1" spans="1:26">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5.75" customHeight="1" spans="1:2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5.75" customHeight="1" spans="1:26">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5.75" customHeight="1" spans="1:26">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5.75" customHeight="1" spans="1:26">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5.75" customHeight="1" spans="1:26">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5.75" customHeight="1" spans="1:26">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5.75" customHeight="1" spans="1:26">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5.75" customHeight="1" spans="1:26">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5.75" customHeight="1" spans="1:26">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5.75" customHeight="1" spans="1:26">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5.75" customHeight="1" spans="1:2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5.75" customHeight="1" spans="1:26">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5.75" customHeight="1" spans="1:26">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5.75" customHeight="1" spans="1:26">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5.75" customHeight="1" spans="1:26">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5.75" customHeight="1" spans="1:26">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5.75" customHeight="1" spans="1:26">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5.75" customHeight="1" spans="1:26">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5.75" customHeight="1" spans="1:26">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5.75" customHeight="1" spans="1:26">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5.75" customHeight="1" spans="1:2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5.75" customHeight="1" spans="1:26">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5.75" customHeight="1" spans="1:26">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5.75" customHeight="1" spans="1:26">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5.75" customHeight="1" spans="1:26">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5.75" customHeight="1" spans="1:26">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5.75" customHeight="1" spans="1:26">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5.75" customHeight="1" spans="1:26">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5.75" customHeight="1" spans="1:26">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5.75" customHeight="1" spans="1:26">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5.75" customHeight="1" spans="1: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5.75" customHeight="1" spans="1:26">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5.75" customHeight="1" spans="1:26">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5.75" customHeight="1" spans="1:26">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5.75" customHeight="1" spans="1:26">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5.75" customHeight="1" spans="1:26">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5.75" customHeight="1" spans="1:26">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5.75" customHeight="1" spans="1:26">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5.75" customHeight="1" spans="1:26">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5.75" customHeight="1" spans="1:26">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5.75" customHeight="1" spans="1:2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5.75" customHeight="1" spans="1:26">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5.75" customHeight="1" spans="1:26">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5.75" customHeight="1" spans="1:26">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5.75" customHeight="1" spans="1:26">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5.75" customHeight="1" spans="1:26">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5.75" customHeight="1" spans="1:26">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5.75" customHeight="1" spans="1:26">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5.75" customHeight="1" spans="1:26">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5.75" customHeight="1" spans="1:26">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5.75" customHeight="1" spans="1:2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5.75" customHeight="1" spans="1:26">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5.75" customHeight="1" spans="1:26">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5.75" customHeight="1" spans="1:26">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5.75" customHeight="1" spans="1:26">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5.75" customHeight="1" spans="1:26">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5.75" customHeight="1" spans="1:26">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5.75" customHeight="1" spans="1:26">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5.75" customHeight="1" spans="1:26">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5.75" customHeight="1" spans="1:26">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5.75" customHeight="1" spans="1:2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5.75" customHeight="1" spans="1:26">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5.75" customHeight="1" spans="1:26">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5.75" customHeight="1" spans="1:26">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5.75" customHeight="1" spans="1:26">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5.75" customHeight="1" spans="1:26">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5.75" customHeight="1" spans="1:26">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5.75" customHeight="1" spans="1:26">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5.75" customHeight="1" spans="1:26">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5.75" customHeight="1" spans="1:26">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5.75" customHeight="1" spans="1:2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5.75" customHeight="1" spans="1:26">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5.75" customHeight="1" spans="1:26">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5.75" customHeight="1" spans="1:26">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5.75" customHeight="1" spans="1:26">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5.75" customHeight="1" spans="1:26">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5.75" customHeight="1" spans="1:26">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5.75" customHeight="1" spans="1:26">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5.75" customHeight="1" spans="1:26">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5.75" customHeight="1" spans="1:26">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5.75" customHeight="1" spans="1:2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5.75" customHeight="1" spans="1:26">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5.75" customHeight="1" spans="1:26">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5.75" customHeight="1" spans="1:26">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5.75" customHeight="1" spans="1:26">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5.75" customHeight="1" spans="1:26">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5.75" customHeight="1" spans="1:26">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5.75" customHeight="1" spans="1:26">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5.75" customHeight="1" spans="1:26">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5.75" customHeight="1" spans="1:26">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5.75" customHeight="1" spans="1:2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5.75" customHeight="1" spans="1:26">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5.75" customHeight="1" spans="1:26">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5.75" customHeight="1" spans="1:26">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5.75" customHeight="1" spans="1:26">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5.75" customHeight="1" spans="1:26">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5.75" customHeight="1" spans="1:26">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5.75" customHeight="1" spans="1:26">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5.75" customHeight="1" spans="1:26">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5.75" customHeight="1" spans="1:26">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5.75" customHeight="1" spans="1:2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5.75" customHeight="1" spans="1:26">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5.75" customHeight="1" spans="1:26">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5.75" customHeight="1" spans="1:26">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5.75" customHeight="1" spans="1:26">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5.75" customHeight="1" spans="1:26">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5.75" customHeight="1" spans="1:26">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5.75" customHeight="1" spans="1:26">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5.75" customHeight="1" spans="1:26">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5.75" customHeight="1" spans="1:26">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5.75" customHeight="1" spans="1:2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5.75" customHeight="1" spans="1:26">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5.75" customHeight="1" spans="1:26">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5.75" customHeight="1" spans="1:26">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5.75" customHeight="1" spans="1:26">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5.75" customHeight="1" spans="1:26">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5.75" customHeight="1" spans="1:26">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5.75" customHeight="1" spans="1:26">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5.75" customHeight="1" spans="1:26">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5.75" customHeight="1" spans="1:26">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5.75" customHeight="1" spans="1:2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5.75" customHeight="1" spans="1:26">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5.75" customHeight="1" spans="1:26">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5.75" customHeight="1" spans="1:26">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5.75" customHeight="1" spans="1:26">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5.75" customHeight="1" spans="1:26">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5.75" customHeight="1" spans="1:26">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5.75" customHeight="1" spans="1:26">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5.75" customHeight="1" spans="1:26">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5.75" customHeight="1" spans="1:26">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5.75" customHeight="1" spans="1: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5.75" customHeight="1" spans="1:26">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5.75" customHeight="1" spans="1:26">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5.75" customHeight="1" spans="1:26">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5.75" customHeight="1" spans="1:26">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5.75" customHeight="1" spans="1:26">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5.75" customHeight="1" spans="1:26">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5.75" customHeight="1" spans="1:26">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5.75" customHeight="1" spans="1:26">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5.75" customHeight="1" spans="1:26">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5.75" customHeight="1" spans="1:2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5.75" customHeight="1" spans="1:26">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5.75" customHeight="1" spans="1:26">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5.75" customHeight="1" spans="1:26">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5.75" customHeight="1" spans="1:26">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5.75" customHeight="1" spans="1:26">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5.75" customHeight="1" spans="1:26">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5.75" customHeight="1" spans="1:26">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5.75" customHeight="1" spans="1:26">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5.75" customHeight="1" spans="1:26">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5.75" customHeight="1" spans="1:2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5.75" customHeight="1" spans="1:26">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5.75" customHeight="1" spans="1:26">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5.75" customHeight="1" spans="1:26">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5.75" customHeight="1" spans="1:26">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5.75" customHeight="1" spans="1:26">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5.75" customHeight="1" spans="1:26">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5.75" customHeight="1" spans="1:26">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5.75" customHeight="1" spans="1:26">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5.75" customHeight="1" spans="1:26">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5.75" customHeight="1" spans="1:2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5.75" customHeight="1" spans="1:26">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5.75" customHeight="1" spans="1:26">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5.75" customHeight="1" spans="1:26">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5.75" customHeight="1" spans="1:26">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5.75" customHeight="1" spans="1:26">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5.75" customHeight="1" spans="1:26">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5.75" customHeight="1" spans="1:26">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5.75" customHeight="1" spans="1:26">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5.75" customHeight="1" spans="1:26">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5.75" customHeight="1" spans="1:2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5.75" customHeight="1" spans="1:26">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5.75" customHeight="1" spans="1:26">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5.75" customHeight="1" spans="1:26">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5.75" customHeight="1" spans="1:26">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5.75" customHeight="1" spans="1:26">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5.75" customHeight="1" spans="1:26">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5.75" customHeight="1" spans="1:26">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5.75" customHeight="1" spans="1:26">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5.75" customHeight="1" spans="1:26">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5.75" customHeight="1" spans="1:2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5.75" customHeight="1" spans="1:26">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5.75" customHeight="1" spans="1:26">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5.75" customHeight="1" spans="1:26">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5.75" customHeight="1" spans="1:26">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5.75" customHeight="1" spans="1:26">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5.75" customHeight="1" spans="1:26">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5.75" customHeight="1" spans="1:26">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5.75" customHeight="1" spans="1:26">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5.75" customHeight="1" spans="1:26">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5.75" customHeight="1" spans="1:2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5.75" customHeight="1" spans="1:26">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5.75" customHeight="1" spans="1:26">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5.75" customHeight="1" spans="1:26">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5.75" customHeight="1" spans="1:26">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5.75" customHeight="1" spans="1:26">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5.75" customHeight="1" spans="1:26">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5.75" customHeight="1" spans="1:26">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5.75" customHeight="1" spans="1:26">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5.75" customHeight="1" spans="1:26">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5.75" customHeight="1" spans="1:2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5.75" customHeight="1" spans="1:26">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5.75" customHeight="1" spans="1:26">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5.75" customHeight="1" spans="1:26">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5.75" customHeight="1" spans="1:26">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5.75" customHeight="1" spans="1:26">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5.75" customHeight="1" spans="1:26">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5.75" customHeight="1" spans="1:26">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5.75" customHeight="1" spans="1:26">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5.75" customHeight="1" spans="1:26">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5.75" customHeight="1" spans="1:2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5.75" customHeight="1" spans="1:26">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5.75" customHeight="1" spans="1:26">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5.75" customHeight="1" spans="1:26">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5.75" customHeight="1" spans="1:26">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5.75" customHeight="1" spans="1:26">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5.75" customHeight="1" spans="1:26">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5.75" customHeight="1" spans="1:26">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5.75" customHeight="1" spans="1:26">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5.75" customHeight="1" spans="1:26">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5.75" customHeight="1" spans="1:2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5.75" customHeight="1" spans="1:26">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5.75" customHeight="1" spans="1:26">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5.75" customHeight="1" spans="1:26">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5.75" customHeight="1" spans="1:26">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5.75" customHeight="1" spans="1:26">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5.75" customHeight="1" spans="1:26">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5.75" customHeight="1" spans="1:26">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5.75" customHeight="1" spans="1:26">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5.75" customHeight="1" spans="1:26">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5.75" customHeight="1" spans="1: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5.75" customHeight="1" spans="1:26">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5.75" customHeight="1" spans="1:26">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5.75" customHeight="1" spans="1:26">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5.75" customHeight="1" spans="1:26">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5.75" customHeight="1" spans="1:26">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5.75" customHeight="1" spans="1:26">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5.75" customHeight="1" spans="1:26">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5.75" customHeight="1" spans="1:26">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5.75" customHeight="1" spans="1:26">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5.75" customHeight="1" spans="1:2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5.75" customHeight="1" spans="1:26">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5.75" customHeight="1" spans="1:26">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5.75" customHeight="1" spans="1:26">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5.75" customHeight="1" spans="1:26">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5.75" customHeight="1" spans="1:26">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5.75" customHeight="1" spans="1:26">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5.75" customHeight="1" spans="1:26">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5.75" customHeight="1" spans="1:26">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5.75" customHeight="1" spans="1:26">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5.75" customHeight="1" spans="1:2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5.75" customHeight="1" spans="1:26">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5.75" customHeight="1" spans="1:26">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5.75" customHeight="1" spans="1:26">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5.75" customHeight="1" spans="1:26">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5.75" customHeight="1" spans="1:26">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5.75" customHeight="1" spans="1:26">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5.75" customHeight="1" spans="1:26">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5.75" customHeight="1" spans="1:26">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5.75" customHeight="1" spans="1:26">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5.75" customHeight="1" spans="1:2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5.75" customHeight="1" spans="1:26">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5.75" customHeight="1" spans="1:26">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5.75" customHeight="1" spans="1:26">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5.75" customHeight="1" spans="1:26">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5.75" customHeight="1" spans="1:26">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5.75" customHeight="1" spans="1:26">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5.75" customHeight="1" spans="1:26">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5.75" customHeight="1" spans="1:26">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5.75" customHeight="1" spans="1:26">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5.75" customHeight="1" spans="1:2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5.75" customHeight="1" spans="1:26">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5.75" customHeight="1" spans="1:26">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5.75" customHeight="1" spans="1:26">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5.75" customHeight="1" spans="1:26">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5.75" customHeight="1" spans="1:26">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5.75" customHeight="1" spans="1:26">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5.75" customHeight="1" spans="1:26">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5.75" customHeight="1" spans="1:26">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5.75" customHeight="1" spans="1:26">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5.75" customHeight="1" spans="1:2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5.75" customHeight="1" spans="1:26">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5.75" customHeight="1" spans="1:26">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5.75" customHeight="1" spans="1:26">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5.75" customHeight="1" spans="1:26">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5.75" customHeight="1" spans="1:26">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5.75" customHeight="1" spans="1:26">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5.75" customHeight="1" spans="1:26">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5.75" customHeight="1" spans="1:26">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5.75" customHeight="1" spans="1:26">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5.75" customHeight="1" spans="1:2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5.75" customHeight="1" spans="1:26">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5.75" customHeight="1" spans="1:26">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5.75" customHeight="1" spans="1:26">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5.75" customHeight="1" spans="1:26">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5.75" customHeight="1" spans="1:26">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5.75" customHeight="1" spans="1:26">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5.75" customHeight="1" spans="1:26">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5.75" customHeight="1" spans="1:26">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5.75" customHeight="1" spans="1:26">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5.75" customHeight="1" spans="1:2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5.75" customHeight="1" spans="1:26">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5.75" customHeight="1" spans="1:26">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5.75" customHeight="1" spans="1:26">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5.75" customHeight="1" spans="1:26">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5.75" customHeight="1" spans="1:26">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5.75" customHeight="1" spans="1:26">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5.75" customHeight="1" spans="1:26">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5.75" customHeight="1" spans="1:26">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5.75" customHeight="1" spans="1:26">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5.75" customHeight="1" spans="1:2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5.75" customHeight="1" spans="1:26">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5.75" customHeight="1" spans="1:26">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5.75" customHeight="1" spans="1:26">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5.75" customHeight="1" spans="1:26">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5.75" customHeight="1" spans="1:26">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5.75" customHeight="1" spans="1:26">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5.75" customHeight="1" spans="1:26">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5.75" customHeight="1" spans="1:26">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5.75" customHeight="1" spans="1:26">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5.75" customHeight="1" spans="1:2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5.75" customHeight="1" spans="1:26">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5.75" customHeight="1" spans="1:26">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5.75" customHeight="1" spans="1:26">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5.75" customHeight="1" spans="1:26">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5.75" customHeight="1" spans="1:26">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5.75" customHeight="1" spans="1:26">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5.75" customHeight="1" spans="1:26">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5.75" customHeight="1" spans="1:26">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5.75" customHeight="1" spans="1:26">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5.75" customHeight="1" spans="1: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5.75" customHeight="1" spans="1:26">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5.75" customHeight="1" spans="1:26">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5.75" customHeight="1" spans="1:26">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5.75" customHeight="1" spans="1:26">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5.75" customHeight="1" spans="1:26">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5.75" customHeight="1" spans="1:26">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5.75" customHeight="1" spans="1:26">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5.75" customHeight="1" spans="1:26">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5.75" customHeight="1" spans="1:26">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5.75" customHeight="1" spans="1:2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5.75" customHeight="1" spans="1:26">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5.75" customHeight="1" spans="1:26">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5.75" customHeight="1" spans="1:26">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5.75" customHeight="1" spans="1:26">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5.75" customHeight="1" spans="1:26">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5.75" customHeight="1" spans="1:26">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5.75" customHeight="1" spans="1:26">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5.75" customHeight="1" spans="1:26">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5.75" customHeight="1" spans="1:26">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5.75" customHeight="1" spans="1:2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5.75" customHeight="1" spans="1:26">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5.75" customHeight="1" spans="1:26">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5.75" customHeight="1" spans="1:26">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5.75" customHeight="1" spans="1:26">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5.75" customHeight="1" spans="1:26">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5.75" customHeight="1" spans="1:26">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5.75" customHeight="1" spans="1:26">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5.75" customHeight="1" spans="1:26">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5.75" customHeight="1" spans="1:26">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5.75" customHeight="1" spans="1:2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5.75" customHeight="1" spans="1:26">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5.75" customHeight="1" spans="1:26">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5.75" customHeight="1" spans="1:26">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5.75" customHeight="1" spans="1:26">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5.75" customHeight="1" spans="1:26">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5.75" customHeight="1" spans="1:26">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5.75" customHeight="1" spans="1:26">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5.75" customHeight="1" spans="1:26">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5.75" customHeight="1" spans="1:26">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5.75" customHeight="1" spans="1:2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5.75" customHeight="1" spans="1:26">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5.75" customHeight="1" spans="1:26">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5.75" customHeight="1" spans="1:26">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5.75" customHeight="1" spans="1:26">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5.75" customHeight="1" spans="1:26">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5.75" customHeight="1" spans="1:26">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5.75" customHeight="1" spans="1:26">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5.75" customHeight="1" spans="1:26">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5.75" customHeight="1" spans="1:26">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5.75" customHeight="1" spans="1:2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5.75" customHeight="1" spans="1:26">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5.75" customHeight="1" spans="1:26">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5.75" customHeight="1" spans="1:26">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5.75" customHeight="1" spans="1:26">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5.75" customHeight="1" spans="1:26">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5.75" customHeight="1" spans="1:26">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5.75" customHeight="1" spans="1:26">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5.75" customHeight="1" spans="1:26">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5.75" customHeight="1" spans="1:26">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5.75" customHeight="1" spans="1:2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5.75" customHeight="1" spans="1:26">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5.75" customHeight="1" spans="1:26">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5.75" customHeight="1" spans="1:26">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5.75" customHeight="1" spans="1:26">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5.75" customHeight="1" spans="1:26">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5.75" customHeight="1" spans="1:26">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5.75" customHeight="1" spans="1:26">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5.75" customHeight="1" spans="1:26">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5.75" customHeight="1" spans="1:26">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5.75" customHeight="1" spans="1:2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5.75" customHeight="1" spans="1:26">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5.75" customHeight="1" spans="1:26">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5.75" customHeight="1" spans="1:26">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5.75" customHeight="1" spans="1:26">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19">
    <mergeCell ref="B1:M1"/>
    <mergeCell ref="B2:G2"/>
    <mergeCell ref="B4:G4"/>
    <mergeCell ref="C5:G5"/>
    <mergeCell ref="E6:G6"/>
    <mergeCell ref="E7:G7"/>
    <mergeCell ref="E8:G8"/>
    <mergeCell ref="E9:G9"/>
    <mergeCell ref="E10:G10"/>
    <mergeCell ref="E11:G11"/>
    <mergeCell ref="B12:H12"/>
    <mergeCell ref="C14:G14"/>
    <mergeCell ref="D15:G15"/>
    <mergeCell ref="E16:G16"/>
    <mergeCell ref="E17:G17"/>
    <mergeCell ref="D18:G18"/>
    <mergeCell ref="E19:G19"/>
    <mergeCell ref="B20:H20"/>
    <mergeCell ref="B22:H22"/>
  </mergeCells>
  <dataValidations count="1">
    <dataValidation type="list" allowBlank="1" showErrorMessage="1" sqref="B2">
      <formula1>"Silahkan Pilih WBK atau WBBM,WBK,WBBM"</formula1>
    </dataValidation>
  </dataValidations>
  <pageMargins left="2.36220472440945" right="0.905511811023622" top="0.748031496062992" bottom="0.748031496062992" header="0" footer="0"/>
  <pageSetup paperSize="5" fitToHeight="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pageSetUpPr fitToPage="1"/>
  </sheetPr>
  <dimension ref="A1:V205"/>
  <sheetViews>
    <sheetView tabSelected="1" topLeftCell="B1" workbookViewId="0">
      <pane ySplit="1" topLeftCell="A2" activePane="bottomLeft" state="frozen"/>
      <selection/>
      <selection pane="bottomLeft" activeCell="H4" sqref="H4"/>
    </sheetView>
  </sheetViews>
  <sheetFormatPr defaultColWidth="14.4285714285714" defaultRowHeight="15" customHeight="1"/>
  <cols>
    <col min="1" max="1" width="6.14285714285714" hidden="1" customWidth="1"/>
    <col min="2" max="2" width="4.57142857142857" customWidth="1"/>
    <col min="3" max="3" width="5.42857142857143" customWidth="1"/>
    <col min="4" max="4" width="3.42857142857143" customWidth="1"/>
    <col min="5" max="5" width="4.42857142857143" customWidth="1"/>
    <col min="6" max="6" width="3.42857142857143" customWidth="1"/>
    <col min="7" max="7" width="81.5714285714286" customWidth="1"/>
    <col min="8" max="8" width="12.4285714285714" customWidth="1"/>
    <col min="9" max="9" width="53.5714285714286" customWidth="1"/>
    <col min="10" max="10" width="15.4285714285714" customWidth="1"/>
    <col min="11" max="11" width="13.5714285714286" customWidth="1"/>
    <col min="12" max="12" width="50.1428571428571" customWidth="1"/>
    <col min="13" max="13" width="75" customWidth="1"/>
    <col min="14" max="14" width="23.4285714285714" customWidth="1"/>
    <col min="16" max="16" width="14.1428571428571" customWidth="1"/>
    <col min="17" max="17" width="48.1428571428571" customWidth="1"/>
    <col min="18" max="22" width="47.4285714285714" customWidth="1"/>
  </cols>
  <sheetData>
    <row r="1" ht="36" spans="1:22">
      <c r="A1" s="5">
        <v>1</v>
      </c>
      <c r="B1" s="6" t="s">
        <v>38</v>
      </c>
      <c r="C1" s="7"/>
      <c r="D1" s="7"/>
      <c r="E1" s="7"/>
      <c r="F1" s="7"/>
      <c r="G1" s="8"/>
      <c r="H1" s="9" t="s">
        <v>3</v>
      </c>
      <c r="I1" s="9" t="s">
        <v>39</v>
      </c>
      <c r="J1" s="9" t="s">
        <v>40</v>
      </c>
      <c r="K1" s="9" t="s">
        <v>41</v>
      </c>
      <c r="L1" s="207" t="s">
        <v>42</v>
      </c>
      <c r="M1" s="10" t="s">
        <v>43</v>
      </c>
      <c r="N1" s="9" t="s">
        <v>44</v>
      </c>
      <c r="O1" s="9" t="s">
        <v>6</v>
      </c>
      <c r="P1" s="11" t="s">
        <v>7</v>
      </c>
      <c r="Q1" s="10" t="s">
        <v>45</v>
      </c>
      <c r="R1" s="10" t="s">
        <v>46</v>
      </c>
      <c r="S1" s="10" t="s">
        <v>47</v>
      </c>
      <c r="T1" s="10" t="s">
        <v>48</v>
      </c>
      <c r="U1" s="10" t="s">
        <v>49</v>
      </c>
      <c r="V1" s="10" t="s">
        <v>50</v>
      </c>
    </row>
    <row r="2" ht="18" spans="1:22">
      <c r="A2" s="12">
        <v>3</v>
      </c>
      <c r="B2" s="13" t="s">
        <v>9</v>
      </c>
      <c r="C2" s="14" t="s">
        <v>10</v>
      </c>
      <c r="D2" s="14"/>
      <c r="E2" s="14"/>
      <c r="F2" s="14"/>
      <c r="G2" s="15"/>
      <c r="H2" s="16">
        <v>60</v>
      </c>
      <c r="I2" s="17"/>
      <c r="J2" s="16"/>
      <c r="K2" s="16"/>
      <c r="L2" s="19"/>
      <c r="M2" s="16"/>
      <c r="N2" s="16"/>
      <c r="O2" s="16">
        <f>O195</f>
        <v>60</v>
      </c>
      <c r="P2" s="18">
        <f t="shared" ref="P2:P5" si="0">O2/H2</f>
        <v>1</v>
      </c>
      <c r="Q2" s="19"/>
      <c r="R2" s="158"/>
      <c r="S2" s="19"/>
      <c r="T2" s="19"/>
      <c r="U2" s="19"/>
      <c r="V2" s="19"/>
    </row>
    <row r="3" ht="18" spans="1:22">
      <c r="A3" s="12">
        <v>4</v>
      </c>
      <c r="B3" s="20"/>
      <c r="C3" s="21" t="s">
        <v>26</v>
      </c>
      <c r="D3" s="14" t="s">
        <v>51</v>
      </c>
      <c r="E3" s="14"/>
      <c r="F3" s="14"/>
      <c r="G3" s="15"/>
      <c r="H3" s="22">
        <v>30</v>
      </c>
      <c r="I3" s="23"/>
      <c r="J3" s="22"/>
      <c r="K3" s="22"/>
      <c r="L3" s="25"/>
      <c r="M3" s="22"/>
      <c r="N3" s="22"/>
      <c r="O3" s="22">
        <f>SUM(O4,O21,O34,O59,O73,O97)</f>
        <v>30</v>
      </c>
      <c r="P3" s="24">
        <f t="shared" si="0"/>
        <v>1</v>
      </c>
      <c r="Q3" s="25"/>
      <c r="R3" s="208"/>
      <c r="S3" s="25"/>
      <c r="T3" s="25"/>
      <c r="U3" s="25"/>
      <c r="V3" s="25"/>
    </row>
    <row r="4" ht="15.75" spans="1:22">
      <c r="A4" s="12">
        <v>5</v>
      </c>
      <c r="B4" s="26"/>
      <c r="C4" s="27"/>
      <c r="D4" s="28" t="s">
        <v>11</v>
      </c>
      <c r="E4" s="29" t="s">
        <v>12</v>
      </c>
      <c r="F4" s="29"/>
      <c r="G4" s="30"/>
      <c r="H4" s="31">
        <v>4</v>
      </c>
      <c r="I4" s="32"/>
      <c r="J4" s="31"/>
      <c r="K4" s="31"/>
      <c r="L4" s="34"/>
      <c r="M4" s="31"/>
      <c r="N4" s="31"/>
      <c r="O4" s="31">
        <f>SUM(O5,O8,O12,O16)</f>
        <v>4</v>
      </c>
      <c r="P4" s="33">
        <f t="shared" si="0"/>
        <v>1</v>
      </c>
      <c r="Q4" s="34"/>
      <c r="R4" s="209"/>
      <c r="S4" s="34"/>
      <c r="T4" s="34"/>
      <c r="U4" s="34"/>
      <c r="V4" s="34"/>
    </row>
    <row r="5" ht="15.75" spans="1:22">
      <c r="A5" s="12">
        <v>6</v>
      </c>
      <c r="B5" s="30"/>
      <c r="C5" s="35"/>
      <c r="D5" s="35"/>
      <c r="E5" s="35" t="s">
        <v>52</v>
      </c>
      <c r="F5" s="29" t="s">
        <v>53</v>
      </c>
      <c r="G5" s="30"/>
      <c r="H5" s="36">
        <v>0.5</v>
      </c>
      <c r="I5" s="37"/>
      <c r="J5" s="36"/>
      <c r="K5" s="36"/>
      <c r="L5" s="39"/>
      <c r="M5" s="36"/>
      <c r="N5" s="36"/>
      <c r="O5" s="36">
        <f>AVERAGE(O6:O7)*H5</f>
        <v>0.5</v>
      </c>
      <c r="P5" s="38">
        <f t="shared" si="0"/>
        <v>1</v>
      </c>
      <c r="Q5" s="39"/>
      <c r="R5" s="209"/>
      <c r="S5" s="39"/>
      <c r="T5" s="39"/>
      <c r="U5" s="39"/>
      <c r="V5" s="39"/>
    </row>
    <row r="6" ht="141.75" spans="1:22">
      <c r="A6" s="12">
        <v>7</v>
      </c>
      <c r="B6" s="29"/>
      <c r="C6" s="35"/>
      <c r="D6" s="35"/>
      <c r="E6" s="35"/>
      <c r="F6" s="40" t="s">
        <v>54</v>
      </c>
      <c r="G6" s="41" t="s">
        <v>55</v>
      </c>
      <c r="H6" s="42"/>
      <c r="I6" s="43" t="s">
        <v>56</v>
      </c>
      <c r="J6" s="44" t="s">
        <v>57</v>
      </c>
      <c r="K6" s="210" t="s">
        <v>58</v>
      </c>
      <c r="L6" s="211"/>
      <c r="M6" s="43" t="s">
        <v>59</v>
      </c>
      <c r="N6" s="44" t="s">
        <v>58</v>
      </c>
      <c r="O6" s="47">
        <f t="shared" ref="O6:O7" si="1">IF(J6="Ya/Tidak",IF(N6="Ya",1,IF(N6="Tidak",0,"Blm Diisi")),IF(J6="A/B/C",IF(N6="A",1,IF(N6="B",0.5,IF(N6="C",0,"Blm Diisi"))),IF(J6="A/B/C/D",IF(N6="A",1,IF(N6="B",0.67,IF(N6="C",0.33,IF(N6="D",0,"Blm Diisi")))),IF(J6="A/B/C/D/E",IF(N6="A",1,IF(N6="B",0.75,IF(N6="C",0.5,IF(N6="D",0.25,IF(N6="E",0,"Blm Diisi"))))),IF(J6="%",IF(N6="","Blm Diisi",N6),IF(J6="Jumlah",IF(N6="","Blm Diisi",""),IF(J6="Rupiah",IF(N6="","Blm Diisi",""),IF(J6="","","-"))))))))</f>
        <v>1</v>
      </c>
      <c r="P6" s="48"/>
      <c r="Q6" s="41"/>
      <c r="R6" s="212" t="s">
        <v>60</v>
      </c>
      <c r="S6" s="213"/>
      <c r="T6" s="213"/>
      <c r="U6" s="213"/>
      <c r="V6" s="213"/>
    </row>
    <row r="7" ht="168" customHeight="1" spans="1:22">
      <c r="A7" s="12">
        <v>8</v>
      </c>
      <c r="B7" s="29"/>
      <c r="C7" s="35"/>
      <c r="D7" s="35"/>
      <c r="E7" s="35"/>
      <c r="F7" s="40" t="s">
        <v>61</v>
      </c>
      <c r="G7" s="41" t="s">
        <v>62</v>
      </c>
      <c r="H7" s="42"/>
      <c r="I7" s="51" t="s">
        <v>63</v>
      </c>
      <c r="J7" s="44" t="s">
        <v>64</v>
      </c>
      <c r="K7" s="210" t="s">
        <v>65</v>
      </c>
      <c r="L7" s="214"/>
      <c r="M7" s="51" t="s">
        <v>66</v>
      </c>
      <c r="N7" s="44" t="s">
        <v>65</v>
      </c>
      <c r="O7" s="47">
        <f t="shared" si="1"/>
        <v>1</v>
      </c>
      <c r="P7" s="48"/>
      <c r="Q7" s="150"/>
      <c r="R7" s="215" t="s">
        <v>67</v>
      </c>
      <c r="S7" s="213"/>
      <c r="T7" s="213"/>
      <c r="U7" s="213"/>
      <c r="V7" s="213"/>
    </row>
    <row r="8" ht="15.75" spans="1:22">
      <c r="A8" s="12">
        <v>9</v>
      </c>
      <c r="B8" s="30"/>
      <c r="C8" s="35"/>
      <c r="D8" s="35"/>
      <c r="E8" s="35" t="s">
        <v>68</v>
      </c>
      <c r="F8" s="29" t="s">
        <v>69</v>
      </c>
      <c r="G8" s="30"/>
      <c r="H8" s="36">
        <v>1</v>
      </c>
      <c r="I8" s="37"/>
      <c r="J8" s="36"/>
      <c r="K8" s="36"/>
      <c r="L8" s="216"/>
      <c r="M8" s="55"/>
      <c r="N8" s="36"/>
      <c r="O8" s="36">
        <f>AVERAGE(O9:O11)*H8</f>
        <v>1</v>
      </c>
      <c r="P8" s="38">
        <f>O8/H8</f>
        <v>1</v>
      </c>
      <c r="Q8" s="39"/>
      <c r="R8" s="217"/>
      <c r="S8" s="39"/>
      <c r="T8" s="39"/>
      <c r="U8" s="39"/>
      <c r="V8" s="39"/>
    </row>
    <row r="9" ht="147" customHeight="1" spans="1:22">
      <c r="A9" s="12">
        <v>10</v>
      </c>
      <c r="B9" s="29"/>
      <c r="C9" s="35"/>
      <c r="D9" s="35"/>
      <c r="E9" s="35"/>
      <c r="F9" s="40" t="s">
        <v>54</v>
      </c>
      <c r="G9" s="41" t="s">
        <v>70</v>
      </c>
      <c r="H9" s="42"/>
      <c r="I9" s="41" t="s">
        <v>71</v>
      </c>
      <c r="J9" s="44" t="s">
        <v>57</v>
      </c>
      <c r="K9" s="210" t="s">
        <v>58</v>
      </c>
      <c r="L9" s="214"/>
      <c r="M9" s="41" t="s">
        <v>72</v>
      </c>
      <c r="N9" s="44" t="s">
        <v>58</v>
      </c>
      <c r="O9" s="47">
        <f t="shared" ref="O9:O11" si="2">IF(J9="Ya/Tidak",IF(N9="Ya",1,IF(N9="Tidak",0,"Blm Diisi")),IF(J9="A/B/C",IF(N9="A",1,IF(N9="B",0.5,IF(N9="C",0,"Blm Diisi"))),IF(J9="A/B/C/D",IF(N9="A",1,IF(N9="B",0.67,IF(N9="C",0.33,IF(N9="D",0,"Blm Diisi")))),IF(J9="A/B/C/D/E",IF(N9="A",1,IF(N9="B",0.75,IF(N9="C",0.5,IF(N9="D",0.25,IF(N9="E",0,"Blm Diisi"))))),IF(J9="%",IF(N9="","Blm Diisi",N9),IF(J9="Jumlah",IF(N9="","Blm Diisi",""),IF(J9="Rupiah",IF(N9="","Blm Diisi",""),IF(J9="","","-"))))))))</f>
        <v>1</v>
      </c>
      <c r="P9" s="48"/>
      <c r="Q9" s="41"/>
      <c r="R9" s="212" t="s">
        <v>73</v>
      </c>
      <c r="S9" s="213"/>
      <c r="T9" s="213"/>
      <c r="U9" s="213"/>
      <c r="V9" s="213"/>
    </row>
    <row r="10" ht="147" customHeight="1" spans="1:22">
      <c r="A10" s="12">
        <v>11</v>
      </c>
      <c r="B10" s="29"/>
      <c r="C10" s="35"/>
      <c r="D10" s="35"/>
      <c r="E10" s="35"/>
      <c r="F10" s="40" t="s">
        <v>61</v>
      </c>
      <c r="G10" s="41" t="s">
        <v>74</v>
      </c>
      <c r="H10" s="42"/>
      <c r="I10" s="51" t="s">
        <v>75</v>
      </c>
      <c r="J10" s="44" t="s">
        <v>64</v>
      </c>
      <c r="K10" s="210" t="s">
        <v>65</v>
      </c>
      <c r="L10" s="214"/>
      <c r="M10" s="51" t="s">
        <v>76</v>
      </c>
      <c r="N10" s="44" t="s">
        <v>65</v>
      </c>
      <c r="O10" s="47">
        <f t="shared" si="2"/>
        <v>1</v>
      </c>
      <c r="P10" s="48"/>
      <c r="Q10" s="86"/>
      <c r="R10" s="212" t="s">
        <v>77</v>
      </c>
      <c r="S10" s="213"/>
      <c r="T10" s="213"/>
      <c r="U10" s="213"/>
      <c r="V10" s="213"/>
    </row>
    <row r="11" ht="409.5" spans="1:22">
      <c r="A11" s="12">
        <v>12</v>
      </c>
      <c r="B11" s="29"/>
      <c r="C11" s="35"/>
      <c r="D11" s="35"/>
      <c r="E11" s="35"/>
      <c r="F11" s="40" t="s">
        <v>78</v>
      </c>
      <c r="G11" s="41" t="s">
        <v>79</v>
      </c>
      <c r="H11" s="42"/>
      <c r="I11" s="51" t="s">
        <v>80</v>
      </c>
      <c r="J11" s="44" t="s">
        <v>64</v>
      </c>
      <c r="K11" s="210" t="s">
        <v>65</v>
      </c>
      <c r="L11" s="214"/>
      <c r="M11" s="51" t="s">
        <v>81</v>
      </c>
      <c r="N11" s="44" t="s">
        <v>65</v>
      </c>
      <c r="O11" s="47">
        <f t="shared" si="2"/>
        <v>1</v>
      </c>
      <c r="P11" s="48"/>
      <c r="Q11" s="150"/>
      <c r="R11" s="215" t="s">
        <v>82</v>
      </c>
      <c r="S11" s="213"/>
      <c r="T11" s="213"/>
      <c r="U11" s="213"/>
      <c r="V11" s="213"/>
    </row>
    <row r="12" ht="15.75" spans="1:22">
      <c r="A12" s="12">
        <v>13</v>
      </c>
      <c r="B12" s="30"/>
      <c r="C12" s="35"/>
      <c r="D12" s="35"/>
      <c r="E12" s="35" t="s">
        <v>83</v>
      </c>
      <c r="F12" s="29" t="s">
        <v>84</v>
      </c>
      <c r="G12" s="30"/>
      <c r="H12" s="36">
        <v>1</v>
      </c>
      <c r="I12" s="37"/>
      <c r="J12" s="36"/>
      <c r="K12" s="36"/>
      <c r="L12" s="216"/>
      <c r="M12" s="58"/>
      <c r="N12" s="36"/>
      <c r="O12" s="36">
        <f>AVERAGE(O13:O15)*H12</f>
        <v>1</v>
      </c>
      <c r="P12" s="38">
        <f>O12/H12</f>
        <v>1</v>
      </c>
      <c r="Q12" s="39"/>
      <c r="R12" s="217"/>
      <c r="S12" s="39"/>
      <c r="T12" s="39"/>
      <c r="U12" s="39"/>
      <c r="V12" s="39"/>
    </row>
    <row r="13" ht="157.5" spans="1:22">
      <c r="A13" s="12">
        <v>14</v>
      </c>
      <c r="B13" s="29"/>
      <c r="C13" s="35"/>
      <c r="D13" s="35"/>
      <c r="E13" s="35"/>
      <c r="F13" s="40" t="s">
        <v>54</v>
      </c>
      <c r="G13" s="41" t="s">
        <v>85</v>
      </c>
      <c r="H13" s="42"/>
      <c r="I13" s="51" t="s">
        <v>86</v>
      </c>
      <c r="J13" s="59" t="s">
        <v>87</v>
      </c>
      <c r="K13" s="210" t="s">
        <v>65</v>
      </c>
      <c r="L13" s="214"/>
      <c r="M13" s="51" t="s">
        <v>88</v>
      </c>
      <c r="N13" s="44" t="s">
        <v>65</v>
      </c>
      <c r="O13" s="47">
        <f t="shared" ref="O13:O15" si="3">IF(J13="Ya/Tidak",IF(N13="Ya",1,IF(N13="Tidak",0,"Blm Diisi")),IF(J13="A/B/C",IF(N13="A",1,IF(N13="B",0.5,IF(N13="C",0,"Blm Diisi"))),IF(J13="A/B/C/D",IF(N13="A",1,IF(N13="B",0.67,IF(N13="C",0.33,IF(N13="D",0,"Blm Diisi")))),IF(J13="A/B/C/D/E",IF(N13="A",1,IF(N13="B",0.75,IF(N13="C",0.5,IF(N13="D",0.25,IF(N13="E",0,"Blm Diisi"))))),IF(J13="%",IF(N13="","Blm Diisi",N13),IF(J13="Jumlah",IF(N13="","Blm Diisi",""),IF(J13="Rupiah",IF(N13="","Blm Diisi",""),IF(J13="","","-"))))))))</f>
        <v>1</v>
      </c>
      <c r="P13" s="48"/>
      <c r="Q13" s="41"/>
      <c r="R13" s="212" t="s">
        <v>89</v>
      </c>
      <c r="S13" s="213"/>
      <c r="T13" s="213"/>
      <c r="U13" s="213"/>
      <c r="V13" s="213"/>
    </row>
    <row r="14" ht="154.5" customHeight="1" spans="1:22">
      <c r="A14" s="60">
        <v>15</v>
      </c>
      <c r="B14" s="29"/>
      <c r="C14" s="35"/>
      <c r="D14" s="35"/>
      <c r="E14" s="35"/>
      <c r="F14" s="40" t="s">
        <v>61</v>
      </c>
      <c r="G14" s="41" t="s">
        <v>90</v>
      </c>
      <c r="H14" s="42"/>
      <c r="I14" s="51" t="s">
        <v>91</v>
      </c>
      <c r="J14" s="59" t="s">
        <v>87</v>
      </c>
      <c r="K14" s="210" t="s">
        <v>65</v>
      </c>
      <c r="L14" s="214"/>
      <c r="M14" s="51" t="s">
        <v>92</v>
      </c>
      <c r="N14" s="44" t="s">
        <v>65</v>
      </c>
      <c r="O14" s="47">
        <f t="shared" si="3"/>
        <v>1</v>
      </c>
      <c r="P14" s="48"/>
      <c r="Q14" s="150"/>
      <c r="R14" s="215" t="s">
        <v>93</v>
      </c>
      <c r="S14" s="213"/>
      <c r="T14" s="213"/>
      <c r="U14" s="213"/>
      <c r="V14" s="213"/>
    </row>
    <row r="15" ht="260.25" customHeight="1" spans="1:22">
      <c r="A15" s="12">
        <v>16</v>
      </c>
      <c r="B15" s="29"/>
      <c r="C15" s="35"/>
      <c r="D15" s="35"/>
      <c r="E15" s="35"/>
      <c r="F15" s="40" t="s">
        <v>78</v>
      </c>
      <c r="G15" s="41" t="s">
        <v>94</v>
      </c>
      <c r="H15" s="42"/>
      <c r="I15" s="51" t="s">
        <v>95</v>
      </c>
      <c r="J15" s="59" t="s">
        <v>87</v>
      </c>
      <c r="K15" s="210" t="s">
        <v>65</v>
      </c>
      <c r="L15" s="214"/>
      <c r="M15" s="51" t="s">
        <v>96</v>
      </c>
      <c r="N15" s="44" t="s">
        <v>65</v>
      </c>
      <c r="O15" s="47">
        <f t="shared" si="3"/>
        <v>1</v>
      </c>
      <c r="P15" s="48"/>
      <c r="Q15" s="150"/>
      <c r="R15" s="215" t="s">
        <v>97</v>
      </c>
      <c r="S15" s="213"/>
      <c r="T15" s="213"/>
      <c r="U15" s="213"/>
      <c r="V15" s="213"/>
    </row>
    <row r="16" ht="15.75" spans="1:22">
      <c r="A16" s="12">
        <v>17</v>
      </c>
      <c r="B16" s="30"/>
      <c r="C16" s="35"/>
      <c r="D16" s="35"/>
      <c r="E16" s="35" t="s">
        <v>98</v>
      </c>
      <c r="F16" s="29" t="s">
        <v>99</v>
      </c>
      <c r="G16" s="30"/>
      <c r="H16" s="36">
        <v>1.5</v>
      </c>
      <c r="I16" s="37"/>
      <c r="J16" s="36"/>
      <c r="K16" s="36"/>
      <c r="L16" s="216"/>
      <c r="M16" s="55"/>
      <c r="N16" s="36"/>
      <c r="O16" s="36">
        <f>AVERAGE(O17:O20)*H16</f>
        <v>1.5</v>
      </c>
      <c r="P16" s="38">
        <f>O16/H16</f>
        <v>1</v>
      </c>
      <c r="Q16" s="39"/>
      <c r="R16" s="217"/>
      <c r="S16" s="39"/>
      <c r="T16" s="39"/>
      <c r="U16" s="39"/>
      <c r="V16" s="39"/>
    </row>
    <row r="17" ht="409.5" spans="1:22">
      <c r="A17" s="12">
        <v>18</v>
      </c>
      <c r="B17" s="29"/>
      <c r="C17" s="35"/>
      <c r="D17" s="35"/>
      <c r="E17" s="35"/>
      <c r="F17" s="40" t="s">
        <v>54</v>
      </c>
      <c r="G17" s="41" t="s">
        <v>100</v>
      </c>
      <c r="H17" s="42"/>
      <c r="I17" s="41" t="s">
        <v>101</v>
      </c>
      <c r="J17" s="44" t="s">
        <v>57</v>
      </c>
      <c r="K17" s="210" t="s">
        <v>58</v>
      </c>
      <c r="L17" s="214"/>
      <c r="M17" s="41" t="s">
        <v>102</v>
      </c>
      <c r="N17" s="44" t="s">
        <v>58</v>
      </c>
      <c r="O17" s="47">
        <f t="shared" ref="O17:O20" si="4">IF(J17="Ya/Tidak",IF(N17="Ya",1,IF(N17="Tidak",0,"Blm Diisi")),IF(J17="A/B/C",IF(N17="A",1,IF(N17="B",0.5,IF(N17="C",0,"Blm Diisi"))),IF(J17="A/B/C/D",IF(N17="A",1,IF(N17="B",0.67,IF(N17="C",0.33,IF(N17="D",0,"Blm Diisi")))),IF(J17="A/B/C/D/E",IF(N17="A",1,IF(N17="B",0.75,IF(N17="C",0.5,IF(N17="D",0.25,IF(N17="E",0,"Blm Diisi"))))),IF(J17="%",IF(N17="","Blm Diisi",N17),IF(J17="Jumlah",IF(N17="","Blm Diisi",""),IF(J17="Rupiah",IF(N17="","Blm Diisi",""),IF(J17="","","-"))))))))</f>
        <v>1</v>
      </c>
      <c r="P17" s="48"/>
      <c r="Q17" s="41"/>
      <c r="R17" s="212" t="s">
        <v>103</v>
      </c>
      <c r="S17" s="213"/>
      <c r="T17" s="213"/>
      <c r="U17" s="213"/>
      <c r="V17" s="213"/>
    </row>
    <row r="18" ht="236.25" spans="1:22">
      <c r="A18" s="12">
        <v>19</v>
      </c>
      <c r="B18" s="29"/>
      <c r="C18" s="35"/>
      <c r="D18" s="35"/>
      <c r="E18" s="35"/>
      <c r="F18" s="40" t="s">
        <v>61</v>
      </c>
      <c r="G18" s="41" t="s">
        <v>104</v>
      </c>
      <c r="H18" s="42"/>
      <c r="I18" s="51" t="s">
        <v>105</v>
      </c>
      <c r="J18" s="44" t="s">
        <v>64</v>
      </c>
      <c r="K18" s="210" t="s">
        <v>65</v>
      </c>
      <c r="L18" s="214"/>
      <c r="M18" s="51" t="s">
        <v>106</v>
      </c>
      <c r="N18" s="44" t="s">
        <v>65</v>
      </c>
      <c r="O18" s="47">
        <f t="shared" si="4"/>
        <v>1</v>
      </c>
      <c r="P18" s="48"/>
      <c r="Q18" s="86"/>
      <c r="R18" s="212" t="s">
        <v>107</v>
      </c>
      <c r="S18" s="213"/>
      <c r="T18" s="213"/>
      <c r="U18" s="213"/>
      <c r="V18" s="213"/>
    </row>
    <row r="19" ht="340.5" customHeight="1" spans="1:22">
      <c r="A19" s="12">
        <v>20</v>
      </c>
      <c r="B19" s="29"/>
      <c r="C19" s="35"/>
      <c r="D19" s="35"/>
      <c r="E19" s="35"/>
      <c r="F19" s="40" t="s">
        <v>78</v>
      </c>
      <c r="G19" s="41" t="s">
        <v>108</v>
      </c>
      <c r="H19" s="42"/>
      <c r="I19" s="51" t="s">
        <v>109</v>
      </c>
      <c r="J19" s="44" t="s">
        <v>64</v>
      </c>
      <c r="K19" s="210" t="s">
        <v>65</v>
      </c>
      <c r="L19" s="214"/>
      <c r="M19" s="51" t="s">
        <v>110</v>
      </c>
      <c r="N19" s="44" t="s">
        <v>65</v>
      </c>
      <c r="O19" s="47">
        <f t="shared" si="4"/>
        <v>1</v>
      </c>
      <c r="P19" s="48"/>
      <c r="Q19" s="86"/>
      <c r="R19" s="212" t="s">
        <v>111</v>
      </c>
      <c r="S19" s="213"/>
      <c r="T19" s="213"/>
      <c r="U19" s="213"/>
      <c r="V19" s="213"/>
    </row>
    <row r="20" ht="295.5" customHeight="1" spans="1:22">
      <c r="A20" s="12">
        <v>21</v>
      </c>
      <c r="B20" s="29"/>
      <c r="C20" s="35"/>
      <c r="D20" s="35"/>
      <c r="E20" s="35"/>
      <c r="F20" s="40" t="s">
        <v>112</v>
      </c>
      <c r="G20" s="41" t="s">
        <v>113</v>
      </c>
      <c r="H20" s="42"/>
      <c r="I20" s="51" t="s">
        <v>114</v>
      </c>
      <c r="J20" s="59" t="s">
        <v>87</v>
      </c>
      <c r="K20" s="210" t="s">
        <v>65</v>
      </c>
      <c r="L20" s="214"/>
      <c r="M20" s="41" t="s">
        <v>115</v>
      </c>
      <c r="N20" s="44" t="s">
        <v>65</v>
      </c>
      <c r="O20" s="47">
        <f t="shared" si="4"/>
        <v>1</v>
      </c>
      <c r="P20" s="48"/>
      <c r="Q20" s="150"/>
      <c r="R20" s="215" t="s">
        <v>116</v>
      </c>
      <c r="S20" s="213"/>
      <c r="T20" s="213"/>
      <c r="U20" s="213"/>
      <c r="V20" s="213"/>
    </row>
    <row r="21" ht="15.75" spans="1:22">
      <c r="A21" s="12">
        <v>22</v>
      </c>
      <c r="B21" s="26"/>
      <c r="C21" s="61"/>
      <c r="D21" s="28" t="s">
        <v>13</v>
      </c>
      <c r="E21" s="29" t="s">
        <v>14</v>
      </c>
      <c r="F21" s="29"/>
      <c r="G21" s="30"/>
      <c r="H21" s="31">
        <v>3.5</v>
      </c>
      <c r="I21" s="32"/>
      <c r="J21" s="31"/>
      <c r="K21" s="31"/>
      <c r="L21" s="216"/>
      <c r="M21" s="55"/>
      <c r="N21" s="31"/>
      <c r="O21" s="31">
        <f>SUM(O22,O26,O31)</f>
        <v>3.5</v>
      </c>
      <c r="P21" s="33">
        <f t="shared" ref="P21:P22" si="5">O21/H21</f>
        <v>1</v>
      </c>
      <c r="Q21" s="34"/>
      <c r="R21" s="217"/>
      <c r="S21" s="34"/>
      <c r="T21" s="34"/>
      <c r="U21" s="34"/>
      <c r="V21" s="34"/>
    </row>
    <row r="22" ht="15.75" spans="1:22">
      <c r="A22" s="12">
        <v>23</v>
      </c>
      <c r="B22" s="30"/>
      <c r="C22" s="35"/>
      <c r="D22" s="35"/>
      <c r="E22" s="35" t="s">
        <v>52</v>
      </c>
      <c r="F22" s="29" t="s">
        <v>117</v>
      </c>
      <c r="G22" s="30"/>
      <c r="H22" s="36">
        <v>1</v>
      </c>
      <c r="I22" s="37"/>
      <c r="J22" s="36"/>
      <c r="K22" s="36"/>
      <c r="L22" s="216"/>
      <c r="M22" s="55"/>
      <c r="N22" s="36"/>
      <c r="O22" s="36">
        <f>AVERAGE(O23:O25)*H22</f>
        <v>1</v>
      </c>
      <c r="P22" s="38">
        <f t="shared" si="5"/>
        <v>1</v>
      </c>
      <c r="Q22" s="39"/>
      <c r="R22" s="217"/>
      <c r="S22" s="39"/>
      <c r="T22" s="39"/>
      <c r="U22" s="39"/>
      <c r="V22" s="39"/>
    </row>
    <row r="23" ht="274.5" customHeight="1" spans="1:22">
      <c r="A23" s="62">
        <v>24</v>
      </c>
      <c r="B23" s="63"/>
      <c r="C23" s="64"/>
      <c r="D23" s="64"/>
      <c r="E23" s="64"/>
      <c r="F23" s="65" t="s">
        <v>54</v>
      </c>
      <c r="G23" s="66" t="s">
        <v>118</v>
      </c>
      <c r="H23" s="67"/>
      <c r="I23" s="68" t="s">
        <v>119</v>
      </c>
      <c r="J23" s="69" t="s">
        <v>87</v>
      </c>
      <c r="K23" s="210" t="s">
        <v>65</v>
      </c>
      <c r="L23" s="214"/>
      <c r="M23" s="51" t="s">
        <v>120</v>
      </c>
      <c r="N23" s="44" t="s">
        <v>65</v>
      </c>
      <c r="O23" s="47">
        <f t="shared" ref="O23:O25" si="6">IF(J23="Ya/Tidak",IF(N23="Ya",1,IF(N23="Tidak",0,"Blm Diisi")),IF(J23="A/B/C",IF(N23="A",1,IF(N23="B",0.5,IF(N23="C",0,"Blm Diisi"))),IF(J23="A/B/C/D",IF(N23="A",1,IF(N23="B",0.67,IF(N23="C",0.33,IF(N23="D",0,"Blm Diisi")))),IF(J23="A/B/C/D/E",IF(N23="A",1,IF(N23="B",0.75,IF(N23="C",0.5,IF(N23="D",0.25,IF(N23="E",0,"Blm Diisi"))))),IF(J23="%",IF(N23="","Blm Diisi",N23),IF(J23="Jumlah",IF(N23="","Blm Diisi",""),IF(J23="Rupiah",IF(N23="","Blm Diisi",""),IF(J23="","","-"))))))))</f>
        <v>1</v>
      </c>
      <c r="P23" s="48"/>
      <c r="Q23" s="41"/>
      <c r="R23" s="212" t="s">
        <v>121</v>
      </c>
      <c r="S23" s="213"/>
      <c r="T23" s="213"/>
      <c r="U23" s="213"/>
      <c r="V23" s="213"/>
    </row>
    <row r="24" ht="204.75" spans="1:22">
      <c r="A24" s="12">
        <v>25</v>
      </c>
      <c r="B24" s="29"/>
      <c r="C24" s="35"/>
      <c r="D24" s="35"/>
      <c r="E24" s="35"/>
      <c r="F24" s="40" t="s">
        <v>61</v>
      </c>
      <c r="G24" s="41" t="s">
        <v>122</v>
      </c>
      <c r="H24" s="42"/>
      <c r="I24" s="51" t="s">
        <v>123</v>
      </c>
      <c r="J24" s="59" t="s">
        <v>124</v>
      </c>
      <c r="K24" s="210" t="s">
        <v>65</v>
      </c>
      <c r="L24" s="214"/>
      <c r="M24" s="51" t="s">
        <v>125</v>
      </c>
      <c r="N24" s="44" t="s">
        <v>65</v>
      </c>
      <c r="O24" s="47">
        <f t="shared" si="6"/>
        <v>1</v>
      </c>
      <c r="P24" s="48"/>
      <c r="Q24" s="86"/>
      <c r="R24" s="212" t="s">
        <v>126</v>
      </c>
      <c r="S24" s="213"/>
      <c r="T24" s="213"/>
      <c r="U24" s="213"/>
      <c r="V24" s="213"/>
    </row>
    <row r="25" ht="189" spans="1:22">
      <c r="A25" s="12">
        <v>26</v>
      </c>
      <c r="B25" s="29"/>
      <c r="C25" s="35"/>
      <c r="D25" s="35"/>
      <c r="E25" s="35"/>
      <c r="F25" s="40" t="s">
        <v>78</v>
      </c>
      <c r="G25" s="41" t="s">
        <v>127</v>
      </c>
      <c r="H25" s="42"/>
      <c r="I25" s="51" t="s">
        <v>128</v>
      </c>
      <c r="J25" s="59" t="s">
        <v>124</v>
      </c>
      <c r="K25" s="210" t="s">
        <v>65</v>
      </c>
      <c r="L25" s="214"/>
      <c r="M25" s="51" t="s">
        <v>129</v>
      </c>
      <c r="N25" s="44" t="s">
        <v>65</v>
      </c>
      <c r="O25" s="47">
        <f t="shared" si="6"/>
        <v>1</v>
      </c>
      <c r="P25" s="48"/>
      <c r="Q25" s="150"/>
      <c r="R25" s="215" t="s">
        <v>130</v>
      </c>
      <c r="S25" s="213"/>
      <c r="T25" s="213"/>
      <c r="U25" s="213"/>
      <c r="V25" s="213"/>
    </row>
    <row r="26" ht="15.75" spans="1:22">
      <c r="A26" s="12">
        <v>27</v>
      </c>
      <c r="B26" s="30"/>
      <c r="C26" s="35"/>
      <c r="D26" s="35"/>
      <c r="E26" s="35" t="s">
        <v>68</v>
      </c>
      <c r="F26" s="29" t="s">
        <v>131</v>
      </c>
      <c r="G26" s="30"/>
      <c r="H26" s="36">
        <v>2</v>
      </c>
      <c r="I26" s="37"/>
      <c r="J26" s="36"/>
      <c r="K26" s="36"/>
      <c r="L26" s="216"/>
      <c r="M26" s="55"/>
      <c r="N26" s="36"/>
      <c r="O26" s="36">
        <f>AVERAGE(O27:O30)*H26</f>
        <v>2</v>
      </c>
      <c r="P26" s="38">
        <f>O26/H26</f>
        <v>1</v>
      </c>
      <c r="Q26" s="39"/>
      <c r="R26" s="217"/>
      <c r="S26" s="39"/>
      <c r="T26" s="39"/>
      <c r="U26" s="39"/>
      <c r="V26" s="39"/>
    </row>
    <row r="27" ht="157.5" spans="1:22">
      <c r="A27" s="12">
        <v>28</v>
      </c>
      <c r="B27" s="29"/>
      <c r="C27" s="35"/>
      <c r="D27" s="35"/>
      <c r="E27" s="35"/>
      <c r="F27" s="40" t="s">
        <v>54</v>
      </c>
      <c r="G27" s="41" t="s">
        <v>132</v>
      </c>
      <c r="H27" s="42"/>
      <c r="I27" s="51" t="s">
        <v>133</v>
      </c>
      <c r="J27" s="59" t="s">
        <v>64</v>
      </c>
      <c r="K27" s="210" t="s">
        <v>65</v>
      </c>
      <c r="L27" s="214"/>
      <c r="M27" s="51" t="s">
        <v>134</v>
      </c>
      <c r="N27" s="44" t="s">
        <v>65</v>
      </c>
      <c r="O27" s="47">
        <f t="shared" ref="O27:O30" si="7">IF(J27="Ya/Tidak",IF(N27="Ya",1,IF(N27="Tidak",0,"Blm Diisi")),IF(J27="A/B/C",IF(N27="A",1,IF(N27="B",0.5,IF(N27="C",0,"Blm Diisi"))),IF(J27="A/B/C/D",IF(N27="A",1,IF(N27="B",0.67,IF(N27="C",0.33,IF(N27="D",0,"Blm Diisi")))),IF(J27="A/B/C/D/E",IF(N27="A",1,IF(N27="B",0.75,IF(N27="C",0.5,IF(N27="D",0.25,IF(N27="E",0,"Blm Diisi"))))),IF(J27="%",IF(N27="","Blm Diisi",N27),IF(J27="Jumlah",IF(N27="","Blm Diisi",""),IF(J27="Rupiah",IF(N27="","Blm Diisi",""),IF(J27="","","-"))))))))</f>
        <v>1</v>
      </c>
      <c r="P27" s="48"/>
      <c r="Q27" s="51"/>
      <c r="R27" s="212" t="s">
        <v>135</v>
      </c>
      <c r="S27" s="213"/>
      <c r="T27" s="213"/>
      <c r="U27" s="213"/>
      <c r="V27" s="213"/>
    </row>
    <row r="28" ht="157.5" spans="1:22">
      <c r="A28" s="12">
        <v>29</v>
      </c>
      <c r="B28" s="29"/>
      <c r="C28" s="35"/>
      <c r="D28" s="35"/>
      <c r="E28" s="35"/>
      <c r="F28" s="40" t="s">
        <v>61</v>
      </c>
      <c r="G28" s="41" t="s">
        <v>136</v>
      </c>
      <c r="H28" s="42"/>
      <c r="I28" s="51" t="s">
        <v>137</v>
      </c>
      <c r="J28" s="59" t="s">
        <v>64</v>
      </c>
      <c r="K28" s="210" t="s">
        <v>65</v>
      </c>
      <c r="L28" s="214"/>
      <c r="M28" s="51" t="s">
        <v>138</v>
      </c>
      <c r="N28" s="44" t="s">
        <v>65</v>
      </c>
      <c r="O28" s="47">
        <f t="shared" si="7"/>
        <v>1</v>
      </c>
      <c r="P28" s="48"/>
      <c r="Q28" s="51"/>
      <c r="R28" s="212" t="s">
        <v>139</v>
      </c>
      <c r="S28" s="213"/>
      <c r="T28" s="213"/>
      <c r="U28" s="213"/>
      <c r="V28" s="213"/>
    </row>
    <row r="29" ht="157.5" spans="1:22">
      <c r="A29" s="12">
        <v>30</v>
      </c>
      <c r="B29" s="29"/>
      <c r="C29" s="35"/>
      <c r="D29" s="35"/>
      <c r="E29" s="35"/>
      <c r="F29" s="40" t="s">
        <v>78</v>
      </c>
      <c r="G29" s="41" t="s">
        <v>140</v>
      </c>
      <c r="H29" s="42"/>
      <c r="I29" s="51" t="s">
        <v>141</v>
      </c>
      <c r="J29" s="59" t="s">
        <v>64</v>
      </c>
      <c r="K29" s="210" t="s">
        <v>65</v>
      </c>
      <c r="L29" s="214"/>
      <c r="M29" s="51" t="s">
        <v>142</v>
      </c>
      <c r="N29" s="44" t="s">
        <v>65</v>
      </c>
      <c r="O29" s="47">
        <f t="shared" si="7"/>
        <v>1</v>
      </c>
      <c r="P29" s="48"/>
      <c r="Q29" s="51"/>
      <c r="R29" s="212" t="s">
        <v>143</v>
      </c>
      <c r="S29" s="213"/>
      <c r="T29" s="213"/>
      <c r="U29" s="213"/>
      <c r="V29" s="213"/>
    </row>
    <row r="30" ht="280.5" customHeight="1" spans="1:22">
      <c r="A30" s="12">
        <v>31</v>
      </c>
      <c r="B30" s="29"/>
      <c r="C30" s="35"/>
      <c r="D30" s="35"/>
      <c r="E30" s="35"/>
      <c r="F30" s="40" t="s">
        <v>144</v>
      </c>
      <c r="G30" s="41" t="s">
        <v>145</v>
      </c>
      <c r="H30" s="42"/>
      <c r="I30" s="51" t="s">
        <v>146</v>
      </c>
      <c r="J30" s="59" t="s">
        <v>64</v>
      </c>
      <c r="K30" s="210" t="s">
        <v>65</v>
      </c>
      <c r="L30" s="214"/>
      <c r="M30" s="51" t="s">
        <v>147</v>
      </c>
      <c r="N30" s="44" t="s">
        <v>65</v>
      </c>
      <c r="O30" s="47">
        <f t="shared" si="7"/>
        <v>1</v>
      </c>
      <c r="P30" s="48"/>
      <c r="Q30" s="51"/>
      <c r="R30" s="212" t="s">
        <v>148</v>
      </c>
      <c r="S30" s="213"/>
      <c r="T30" s="213"/>
      <c r="U30" s="213"/>
      <c r="V30" s="213"/>
    </row>
    <row r="31" ht="15.75" spans="1:22">
      <c r="A31" s="12">
        <v>32</v>
      </c>
      <c r="B31" s="30"/>
      <c r="C31" s="35"/>
      <c r="D31" s="35"/>
      <c r="E31" s="35" t="s">
        <v>83</v>
      </c>
      <c r="F31" s="29" t="s">
        <v>149</v>
      </c>
      <c r="G31" s="30"/>
      <c r="H31" s="36">
        <v>0.5</v>
      </c>
      <c r="I31" s="37"/>
      <c r="J31" s="36"/>
      <c r="K31" s="36"/>
      <c r="L31" s="216"/>
      <c r="M31" s="55"/>
      <c r="N31" s="36"/>
      <c r="O31" s="36">
        <f>AVERAGE(O32:O33)*H31</f>
        <v>0.5</v>
      </c>
      <c r="P31" s="38">
        <f>O31/H31</f>
        <v>1</v>
      </c>
      <c r="Q31" s="39"/>
      <c r="R31" s="217"/>
      <c r="S31" s="39"/>
      <c r="T31" s="39"/>
      <c r="U31" s="39"/>
      <c r="V31" s="39"/>
    </row>
    <row r="32" ht="189" spans="1:22">
      <c r="A32" s="12">
        <v>33</v>
      </c>
      <c r="B32" s="29"/>
      <c r="C32" s="35"/>
      <c r="D32" s="35"/>
      <c r="E32" s="35"/>
      <c r="F32" s="40" t="s">
        <v>54</v>
      </c>
      <c r="G32" s="41" t="s">
        <v>150</v>
      </c>
      <c r="H32" s="42"/>
      <c r="I32" s="51" t="s">
        <v>151</v>
      </c>
      <c r="J32" s="59" t="s">
        <v>64</v>
      </c>
      <c r="K32" s="210" t="s">
        <v>65</v>
      </c>
      <c r="L32" s="214"/>
      <c r="M32" s="51" t="s">
        <v>152</v>
      </c>
      <c r="N32" s="44" t="s">
        <v>65</v>
      </c>
      <c r="O32" s="47">
        <f t="shared" ref="O32:O33" si="8">IF(J32="Ya/Tidak",IF(N32="Ya",1,IF(N32="Tidak",0,"Blm Diisi")),IF(J32="A/B/C",IF(N32="A",1,IF(N32="B",0.5,IF(N32="C",0,"Blm Diisi"))),IF(J32="A/B/C/D",IF(N32="A",1,IF(N32="B",0.67,IF(N32="C",0.33,IF(N32="D",0,"Blm Diisi")))),IF(J32="A/B/C/D/E",IF(N32="A",1,IF(N32="B",0.75,IF(N32="C",0.5,IF(N32="D",0.25,IF(N32="E",0,"Blm Diisi"))))),IF(J32="%",IF(N32="","Blm Diisi",N32),IF(J32="Jumlah",IF(N32="","Blm Diisi",""),IF(J32="Rupiah",IF(N32="","Blm Diisi",""),IF(J32="","","-"))))))))</f>
        <v>1</v>
      </c>
      <c r="P32" s="48"/>
      <c r="Q32" s="218"/>
      <c r="R32" s="212" t="s">
        <v>153</v>
      </c>
      <c r="S32" s="213"/>
      <c r="T32" s="213"/>
      <c r="U32" s="213"/>
      <c r="V32" s="213"/>
    </row>
    <row r="33" ht="157.5" spans="1:22">
      <c r="A33" s="12">
        <v>34</v>
      </c>
      <c r="B33" s="29"/>
      <c r="C33" s="35"/>
      <c r="D33" s="35"/>
      <c r="E33" s="35"/>
      <c r="F33" s="40" t="s">
        <v>61</v>
      </c>
      <c r="G33" s="41" t="s">
        <v>154</v>
      </c>
      <c r="H33" s="42"/>
      <c r="I33" s="51" t="s">
        <v>155</v>
      </c>
      <c r="J33" s="59" t="s">
        <v>64</v>
      </c>
      <c r="K33" s="210" t="s">
        <v>65</v>
      </c>
      <c r="L33" s="219"/>
      <c r="M33" s="51" t="s">
        <v>156</v>
      </c>
      <c r="N33" s="44" t="s">
        <v>65</v>
      </c>
      <c r="O33" s="47">
        <f t="shared" si="8"/>
        <v>1</v>
      </c>
      <c r="P33" s="48"/>
      <c r="Q33" s="51"/>
      <c r="R33" s="212" t="s">
        <v>157</v>
      </c>
      <c r="S33" s="213"/>
      <c r="T33" s="213"/>
      <c r="U33" s="213"/>
      <c r="V33" s="213"/>
    </row>
    <row r="34" ht="15.75" spans="1:22">
      <c r="A34" s="12">
        <v>35</v>
      </c>
      <c r="B34" s="26"/>
      <c r="C34" s="61"/>
      <c r="D34" s="28" t="s">
        <v>15</v>
      </c>
      <c r="E34" s="29" t="s">
        <v>16</v>
      </c>
      <c r="F34" s="29"/>
      <c r="G34" s="30"/>
      <c r="H34" s="31">
        <v>5</v>
      </c>
      <c r="I34" s="32"/>
      <c r="J34" s="31"/>
      <c r="K34" s="31"/>
      <c r="L34" s="216"/>
      <c r="M34" s="55"/>
      <c r="N34" s="31"/>
      <c r="O34" s="31">
        <f>SUM(O35,O39,O43,O50,O55,O57)</f>
        <v>5</v>
      </c>
      <c r="P34" s="33">
        <f t="shared" ref="P34:P35" si="9">O34/H34</f>
        <v>1</v>
      </c>
      <c r="Q34" s="34"/>
      <c r="R34" s="217"/>
      <c r="S34" s="34"/>
      <c r="T34" s="34"/>
      <c r="U34" s="34"/>
      <c r="V34" s="34"/>
    </row>
    <row r="35" ht="15.75" spans="1:22">
      <c r="A35" s="12">
        <v>36</v>
      </c>
      <c r="B35" s="30"/>
      <c r="C35" s="35"/>
      <c r="D35" s="35"/>
      <c r="E35" s="35" t="s">
        <v>52</v>
      </c>
      <c r="F35" s="29" t="s">
        <v>158</v>
      </c>
      <c r="G35" s="30"/>
      <c r="H35" s="36">
        <v>0.25</v>
      </c>
      <c r="I35" s="37"/>
      <c r="J35" s="36"/>
      <c r="K35" s="36"/>
      <c r="L35" s="216"/>
      <c r="M35" s="55"/>
      <c r="N35" s="36"/>
      <c r="O35" s="36">
        <f>AVERAGE(O36:O38)*H35</f>
        <v>0.25</v>
      </c>
      <c r="P35" s="38">
        <f t="shared" si="9"/>
        <v>1</v>
      </c>
      <c r="Q35" s="39"/>
      <c r="R35" s="217"/>
      <c r="S35" s="39"/>
      <c r="T35" s="39"/>
      <c r="U35" s="39"/>
      <c r="V35" s="39"/>
    </row>
    <row r="36" ht="376.5" customHeight="1" spans="1:22">
      <c r="A36" s="12">
        <v>37</v>
      </c>
      <c r="B36" s="29"/>
      <c r="C36" s="35"/>
      <c r="D36" s="35"/>
      <c r="E36" s="35"/>
      <c r="F36" s="40" t="s">
        <v>54</v>
      </c>
      <c r="G36" s="41" t="s">
        <v>159</v>
      </c>
      <c r="H36" s="42"/>
      <c r="I36" s="41" t="s">
        <v>160</v>
      </c>
      <c r="J36" s="59" t="s">
        <v>57</v>
      </c>
      <c r="K36" s="210" t="s">
        <v>58</v>
      </c>
      <c r="L36" s="214"/>
      <c r="M36" s="41" t="s">
        <v>161</v>
      </c>
      <c r="N36" s="44" t="s">
        <v>58</v>
      </c>
      <c r="O36" s="47">
        <f t="shared" ref="O36:O38" si="10">IF(J36="Ya/Tidak",IF(N36="Ya",1,IF(N36="Tidak",0,"Blm Diisi")),IF(J36="A/B/C",IF(N36="A",1,IF(N36="B",0.5,IF(N36="C",0,"Blm Diisi"))),IF(J36="A/B/C/D",IF(N36="A",1,IF(N36="B",0.67,IF(N36="C",0.33,IF(N36="D",0,"Blm Diisi")))),IF(J36="A/B/C/D/E",IF(N36="A",1,IF(N36="B",0.75,IF(N36="C",0.5,IF(N36="D",0.25,IF(N36="E",0,"Blm Diisi"))))),IF(J36="%",IF(N36="","Blm Diisi",N36),IF(J36="Jumlah",IF(N36="","Blm Diisi",""),IF(J36="Rupiah",IF(N36="","Blm Diisi",""),IF(J36="","","-"))))))))</f>
        <v>1</v>
      </c>
      <c r="P36" s="48"/>
      <c r="Q36" s="41"/>
      <c r="R36" s="212" t="s">
        <v>162</v>
      </c>
      <c r="S36" s="213"/>
      <c r="T36" s="213"/>
      <c r="U36" s="213"/>
      <c r="V36" s="213"/>
    </row>
    <row r="37" ht="248.25" customHeight="1" spans="1:22">
      <c r="A37" s="12">
        <v>38</v>
      </c>
      <c r="B37" s="29"/>
      <c r="C37" s="35"/>
      <c r="D37" s="35"/>
      <c r="E37" s="35"/>
      <c r="F37" s="40" t="s">
        <v>61</v>
      </c>
      <c r="G37" s="41" t="s">
        <v>163</v>
      </c>
      <c r="H37" s="42"/>
      <c r="I37" s="51" t="s">
        <v>164</v>
      </c>
      <c r="J37" s="59" t="s">
        <v>87</v>
      </c>
      <c r="K37" s="210" t="s">
        <v>65</v>
      </c>
      <c r="L37" s="214"/>
      <c r="M37" s="51" t="s">
        <v>165</v>
      </c>
      <c r="N37" s="44" t="s">
        <v>65</v>
      </c>
      <c r="O37" s="47">
        <f t="shared" si="10"/>
        <v>1</v>
      </c>
      <c r="P37" s="48"/>
      <c r="Q37" s="41"/>
      <c r="R37" s="212" t="s">
        <v>166</v>
      </c>
      <c r="S37" s="213"/>
      <c r="T37" s="213"/>
      <c r="U37" s="213"/>
      <c r="V37" s="213"/>
    </row>
    <row r="38" ht="126" spans="1:22">
      <c r="A38" s="12">
        <v>39</v>
      </c>
      <c r="B38" s="29"/>
      <c r="C38" s="35"/>
      <c r="D38" s="35"/>
      <c r="E38" s="35"/>
      <c r="F38" s="40" t="s">
        <v>78</v>
      </c>
      <c r="G38" s="41" t="s">
        <v>167</v>
      </c>
      <c r="H38" s="42"/>
      <c r="I38" s="41" t="s">
        <v>168</v>
      </c>
      <c r="J38" s="59" t="s">
        <v>57</v>
      </c>
      <c r="K38" s="210" t="s">
        <v>58</v>
      </c>
      <c r="L38" s="214"/>
      <c r="M38" s="41" t="s">
        <v>169</v>
      </c>
      <c r="N38" s="44" t="s">
        <v>58</v>
      </c>
      <c r="O38" s="47">
        <f t="shared" si="10"/>
        <v>1</v>
      </c>
      <c r="P38" s="48"/>
      <c r="Q38" s="151"/>
      <c r="R38" s="215" t="s">
        <v>170</v>
      </c>
      <c r="S38" s="213"/>
      <c r="T38" s="213"/>
      <c r="U38" s="213"/>
      <c r="V38" s="213"/>
    </row>
    <row r="39" ht="15.75" spans="1:22">
      <c r="A39" s="12">
        <v>40</v>
      </c>
      <c r="B39" s="30"/>
      <c r="C39" s="35"/>
      <c r="D39" s="35"/>
      <c r="E39" s="35" t="s">
        <v>68</v>
      </c>
      <c r="F39" s="29" t="s">
        <v>171</v>
      </c>
      <c r="G39" s="30"/>
      <c r="H39" s="36">
        <v>0.5</v>
      </c>
      <c r="I39" s="37"/>
      <c r="J39" s="36"/>
      <c r="K39" s="36"/>
      <c r="L39" s="216"/>
      <c r="M39" s="55"/>
      <c r="N39" s="36"/>
      <c r="O39" s="36">
        <f>AVERAGE(O40:O42)*H39</f>
        <v>0.5</v>
      </c>
      <c r="P39" s="38">
        <f>O39/H39</f>
        <v>1</v>
      </c>
      <c r="Q39" s="39"/>
      <c r="R39" s="217"/>
      <c r="S39" s="39"/>
      <c r="T39" s="39"/>
      <c r="U39" s="39"/>
      <c r="V39" s="39"/>
    </row>
    <row r="40" ht="220.5" customHeight="1" spans="1:22">
      <c r="A40" s="12">
        <v>41</v>
      </c>
      <c r="B40" s="29"/>
      <c r="C40" s="35"/>
      <c r="D40" s="35"/>
      <c r="E40" s="35"/>
      <c r="F40" s="40" t="s">
        <v>54</v>
      </c>
      <c r="G40" s="41" t="s">
        <v>172</v>
      </c>
      <c r="H40" s="42"/>
      <c r="I40" s="41" t="s">
        <v>173</v>
      </c>
      <c r="J40" s="59" t="s">
        <v>57</v>
      </c>
      <c r="K40" s="210" t="s">
        <v>58</v>
      </c>
      <c r="L40" s="214"/>
      <c r="M40" s="41" t="s">
        <v>174</v>
      </c>
      <c r="N40" s="44" t="s">
        <v>58</v>
      </c>
      <c r="O40" s="47">
        <f t="shared" ref="O40:O42" si="11">IF(J40="Ya/Tidak",IF(N40="Ya",1,IF(N40="Tidak",0,"Blm Diisi")),IF(J40="A/B/C",IF(N40="A",1,IF(N40="B",0.5,IF(N40="C",0,"Blm Diisi"))),IF(J40="A/B/C/D",IF(N40="A",1,IF(N40="B",0.67,IF(N40="C",0.33,IF(N40="D",0,"Blm Diisi")))),IF(J40="A/B/C/D/E",IF(N40="A",1,IF(N40="B",0.75,IF(N40="C",0.5,IF(N40="D",0.25,IF(N40="E",0,"Blm Diisi"))))),IF(J40="%",IF(N40="","Blm Diisi",N40),IF(J40="Jumlah",IF(N40="","Blm Diisi",""),IF(J40="Rupiah",IF(N40="","Blm Diisi",""),IF(J40="","","-"))))))))</f>
        <v>1</v>
      </c>
      <c r="P40" s="48"/>
      <c r="Q40" s="41"/>
      <c r="R40" s="212" t="s">
        <v>175</v>
      </c>
      <c r="S40" s="213"/>
      <c r="T40" s="213"/>
      <c r="U40" s="213"/>
      <c r="V40" s="213"/>
    </row>
    <row r="41" ht="362.25" spans="1:22">
      <c r="A41" s="12">
        <v>42</v>
      </c>
      <c r="B41" s="29"/>
      <c r="C41" s="35"/>
      <c r="D41" s="35"/>
      <c r="E41" s="35"/>
      <c r="F41" s="40" t="s">
        <v>61</v>
      </c>
      <c r="G41" s="41" t="s">
        <v>176</v>
      </c>
      <c r="H41" s="42"/>
      <c r="I41" s="51" t="s">
        <v>177</v>
      </c>
      <c r="J41" s="59" t="s">
        <v>124</v>
      </c>
      <c r="K41" s="210" t="s">
        <v>65</v>
      </c>
      <c r="L41" s="214"/>
      <c r="M41" s="51" t="s">
        <v>178</v>
      </c>
      <c r="N41" s="44" t="s">
        <v>65</v>
      </c>
      <c r="O41" s="47">
        <f t="shared" si="11"/>
        <v>1</v>
      </c>
      <c r="P41" s="48"/>
      <c r="Q41" s="86"/>
      <c r="R41" s="212" t="s">
        <v>179</v>
      </c>
      <c r="S41" s="213"/>
      <c r="T41" s="213"/>
      <c r="U41" s="213"/>
      <c r="V41" s="213"/>
    </row>
    <row r="42" ht="189" spans="1:22">
      <c r="A42" s="12">
        <v>43</v>
      </c>
      <c r="B42" s="29"/>
      <c r="C42" s="35"/>
      <c r="D42" s="35"/>
      <c r="E42" s="35"/>
      <c r="F42" s="40" t="s">
        <v>78</v>
      </c>
      <c r="G42" s="41" t="s">
        <v>180</v>
      </c>
      <c r="H42" s="42"/>
      <c r="I42" s="41" t="s">
        <v>181</v>
      </c>
      <c r="J42" s="59" t="s">
        <v>57</v>
      </c>
      <c r="K42" s="210" t="s">
        <v>58</v>
      </c>
      <c r="L42" s="214"/>
      <c r="M42" s="41" t="s">
        <v>182</v>
      </c>
      <c r="N42" s="44" t="s">
        <v>58</v>
      </c>
      <c r="O42" s="47">
        <f t="shared" si="11"/>
        <v>1</v>
      </c>
      <c r="P42" s="48"/>
      <c r="Q42" s="150"/>
      <c r="R42" s="215" t="s">
        <v>183</v>
      </c>
      <c r="S42" s="213"/>
      <c r="T42" s="213"/>
      <c r="U42" s="213"/>
      <c r="V42" s="213"/>
    </row>
    <row r="43" ht="15.75" spans="1:22">
      <c r="A43" s="12">
        <v>44</v>
      </c>
      <c r="B43" s="30"/>
      <c r="C43" s="35"/>
      <c r="D43" s="35"/>
      <c r="E43" s="35" t="s">
        <v>83</v>
      </c>
      <c r="F43" s="29" t="s">
        <v>184</v>
      </c>
      <c r="G43" s="30"/>
      <c r="H43" s="36">
        <v>1.25</v>
      </c>
      <c r="I43" s="37"/>
      <c r="J43" s="36"/>
      <c r="K43" s="36"/>
      <c r="L43" s="216"/>
      <c r="M43" s="55"/>
      <c r="N43" s="36"/>
      <c r="O43" s="36">
        <f>AVERAGE(O44:O49)*H43</f>
        <v>1.25</v>
      </c>
      <c r="P43" s="38">
        <f>O43/H43</f>
        <v>1</v>
      </c>
      <c r="Q43" s="39"/>
      <c r="R43" s="217"/>
      <c r="S43" s="39"/>
      <c r="T43" s="39"/>
      <c r="U43" s="39"/>
      <c r="V43" s="39"/>
    </row>
    <row r="44" ht="409.5" spans="1:22">
      <c r="A44" s="12">
        <v>45</v>
      </c>
      <c r="B44" s="29"/>
      <c r="C44" s="35"/>
      <c r="D44" s="35"/>
      <c r="E44" s="35"/>
      <c r="F44" s="40" t="s">
        <v>54</v>
      </c>
      <c r="G44" s="41" t="s">
        <v>185</v>
      </c>
      <c r="H44" s="42"/>
      <c r="I44" s="41" t="s">
        <v>186</v>
      </c>
      <c r="J44" s="59" t="s">
        <v>57</v>
      </c>
      <c r="K44" s="210" t="s">
        <v>58</v>
      </c>
      <c r="L44" s="214"/>
      <c r="M44" s="41" t="s">
        <v>187</v>
      </c>
      <c r="N44" s="44" t="s">
        <v>58</v>
      </c>
      <c r="O44" s="47">
        <f t="shared" ref="O44:O49" si="12">IF(J44="Ya/Tidak",IF(N44="Ya",1,IF(N44="Tidak",0,"Blm Diisi")),IF(J44="A/B/C",IF(N44="A",1,IF(N44="B",0.5,IF(N44="C",0,"Blm Diisi"))),IF(J44="A/B/C/D",IF(N44="A",1,IF(N44="B",0.67,IF(N44="C",0.33,IF(N44="D",0,"Blm Diisi")))),IF(J44="A/B/C/D/E",IF(N44="A",1,IF(N44="B",0.75,IF(N44="C",0.5,IF(N44="D",0.25,IF(N44="E",0,"Blm Diisi"))))),IF(J44="%",IF(N44="","Blm Diisi",N44),IF(J44="Jumlah",IF(N44="","Blm Diisi",""),IF(J44="Rupiah",IF(N44="","Blm Diisi",""),IF(J44="","","-"))))))))</f>
        <v>1</v>
      </c>
      <c r="P44" s="48"/>
      <c r="Q44" s="220"/>
      <c r="R44" s="212" t="s">
        <v>188</v>
      </c>
      <c r="S44" s="221"/>
      <c r="T44" s="221"/>
      <c r="U44" s="221"/>
      <c r="V44" s="221"/>
    </row>
    <row r="45" ht="289.5" customHeight="1" spans="1:22">
      <c r="A45" s="12">
        <v>46</v>
      </c>
      <c r="B45" s="29"/>
      <c r="C45" s="35"/>
      <c r="D45" s="35"/>
      <c r="E45" s="35"/>
      <c r="F45" s="40" t="s">
        <v>61</v>
      </c>
      <c r="G45" s="41" t="s">
        <v>189</v>
      </c>
      <c r="H45" s="42"/>
      <c r="I45" s="51" t="s">
        <v>190</v>
      </c>
      <c r="J45" s="59" t="s">
        <v>87</v>
      </c>
      <c r="K45" s="210" t="s">
        <v>65</v>
      </c>
      <c r="L45" s="214"/>
      <c r="M45" s="41" t="s">
        <v>191</v>
      </c>
      <c r="N45" s="44" t="s">
        <v>65</v>
      </c>
      <c r="O45" s="47">
        <f t="shared" si="12"/>
        <v>1</v>
      </c>
      <c r="P45" s="48"/>
      <c r="Q45" s="86"/>
      <c r="R45" s="212" t="s">
        <v>192</v>
      </c>
      <c r="S45" s="213"/>
      <c r="T45" s="213"/>
      <c r="U45" s="213"/>
      <c r="V45" s="213"/>
    </row>
    <row r="46" ht="192" customHeight="1" spans="1:22">
      <c r="A46" s="12">
        <v>47</v>
      </c>
      <c r="B46" s="29"/>
      <c r="C46" s="35"/>
      <c r="D46" s="35"/>
      <c r="E46" s="35"/>
      <c r="F46" s="40" t="s">
        <v>78</v>
      </c>
      <c r="G46" s="41" t="s">
        <v>193</v>
      </c>
      <c r="H46" s="42"/>
      <c r="I46" s="51" t="s">
        <v>194</v>
      </c>
      <c r="J46" s="59" t="s">
        <v>87</v>
      </c>
      <c r="K46" s="210" t="s">
        <v>65</v>
      </c>
      <c r="L46" s="214"/>
      <c r="M46" s="51" t="s">
        <v>195</v>
      </c>
      <c r="N46" s="44" t="s">
        <v>65</v>
      </c>
      <c r="O46" s="47">
        <f t="shared" si="12"/>
        <v>1</v>
      </c>
      <c r="P46" s="48"/>
      <c r="Q46" s="86"/>
      <c r="R46" s="212" t="s">
        <v>196</v>
      </c>
      <c r="S46" s="213"/>
      <c r="T46" s="213"/>
      <c r="U46" s="213"/>
      <c r="V46" s="213"/>
    </row>
    <row r="47" ht="259.5" customHeight="1" spans="1:22">
      <c r="A47" s="12">
        <v>48</v>
      </c>
      <c r="B47" s="29"/>
      <c r="C47" s="35"/>
      <c r="D47" s="35"/>
      <c r="E47" s="35"/>
      <c r="F47" s="40" t="s">
        <v>112</v>
      </c>
      <c r="G47" s="41" t="s">
        <v>197</v>
      </c>
      <c r="H47" s="42"/>
      <c r="I47" s="51" t="s">
        <v>198</v>
      </c>
      <c r="J47" s="59" t="s">
        <v>87</v>
      </c>
      <c r="K47" s="210" t="s">
        <v>65</v>
      </c>
      <c r="L47" s="214"/>
      <c r="M47" s="51" t="s">
        <v>199</v>
      </c>
      <c r="N47" s="44" t="s">
        <v>65</v>
      </c>
      <c r="O47" s="47">
        <f t="shared" si="12"/>
        <v>1</v>
      </c>
      <c r="P47" s="48"/>
      <c r="Q47" s="86"/>
      <c r="R47" s="212" t="s">
        <v>200</v>
      </c>
      <c r="S47" s="213"/>
      <c r="T47" s="213"/>
      <c r="U47" s="213"/>
      <c r="V47" s="213"/>
    </row>
    <row r="48" ht="382.5" customHeight="1" spans="1:22">
      <c r="A48" s="12">
        <v>49</v>
      </c>
      <c r="B48" s="29"/>
      <c r="C48" s="35"/>
      <c r="D48" s="35"/>
      <c r="E48" s="35"/>
      <c r="F48" s="40" t="s">
        <v>201</v>
      </c>
      <c r="G48" s="41" t="s">
        <v>202</v>
      </c>
      <c r="H48" s="42"/>
      <c r="I48" s="51" t="s">
        <v>203</v>
      </c>
      <c r="J48" s="59" t="s">
        <v>87</v>
      </c>
      <c r="K48" s="210" t="s">
        <v>65</v>
      </c>
      <c r="L48" s="214"/>
      <c r="M48" s="51" t="s">
        <v>204</v>
      </c>
      <c r="N48" s="44" t="s">
        <v>65</v>
      </c>
      <c r="O48" s="47">
        <f t="shared" si="12"/>
        <v>1</v>
      </c>
      <c r="P48" s="48"/>
      <c r="Q48" s="222"/>
      <c r="R48" s="223" t="s">
        <v>205</v>
      </c>
      <c r="S48" s="213"/>
      <c r="T48" s="213"/>
      <c r="U48" s="213"/>
      <c r="V48" s="213"/>
    </row>
    <row r="49" ht="236.25" spans="1:22">
      <c r="A49" s="12">
        <v>50</v>
      </c>
      <c r="B49" s="29"/>
      <c r="C49" s="35"/>
      <c r="D49" s="35"/>
      <c r="E49" s="35"/>
      <c r="F49" s="40" t="s">
        <v>206</v>
      </c>
      <c r="G49" s="41" t="s">
        <v>207</v>
      </c>
      <c r="H49" s="42"/>
      <c r="I49" s="51" t="s">
        <v>208</v>
      </c>
      <c r="J49" s="59" t="s">
        <v>64</v>
      </c>
      <c r="K49" s="210" t="s">
        <v>65</v>
      </c>
      <c r="L49" s="214"/>
      <c r="M49" s="51" t="s">
        <v>209</v>
      </c>
      <c r="N49" s="44" t="s">
        <v>65</v>
      </c>
      <c r="O49" s="47">
        <f t="shared" si="12"/>
        <v>1</v>
      </c>
      <c r="P49" s="48"/>
      <c r="Q49" s="224"/>
      <c r="R49" s="225" t="s">
        <v>210</v>
      </c>
      <c r="S49" s="226"/>
      <c r="T49" s="226"/>
      <c r="U49" s="226"/>
      <c r="V49" s="226"/>
    </row>
    <row r="50" ht="15.75" spans="1:22">
      <c r="A50" s="12">
        <v>51</v>
      </c>
      <c r="B50" s="30"/>
      <c r="C50" s="35"/>
      <c r="D50" s="35"/>
      <c r="E50" s="35" t="s">
        <v>98</v>
      </c>
      <c r="F50" s="29" t="s">
        <v>211</v>
      </c>
      <c r="G50" s="30"/>
      <c r="H50" s="36">
        <v>2</v>
      </c>
      <c r="I50" s="37" t="s">
        <v>212</v>
      </c>
      <c r="J50" s="36"/>
      <c r="K50" s="36"/>
      <c r="L50" s="216"/>
      <c r="M50" s="55"/>
      <c r="N50" s="36"/>
      <c r="O50" s="36">
        <f>AVERAGE(O51:O54)*H50</f>
        <v>2</v>
      </c>
      <c r="P50" s="38">
        <f>O50/H50</f>
        <v>1</v>
      </c>
      <c r="Q50" s="39"/>
      <c r="R50" s="217"/>
      <c r="S50" s="39"/>
      <c r="T50" s="39"/>
      <c r="U50" s="39"/>
      <c r="V50" s="39"/>
    </row>
    <row r="51" ht="156" customHeight="1" spans="1:22">
      <c r="A51" s="12">
        <v>52</v>
      </c>
      <c r="B51" s="29"/>
      <c r="C51" s="35"/>
      <c r="D51" s="35"/>
      <c r="E51" s="35"/>
      <c r="F51" s="40" t="s">
        <v>54</v>
      </c>
      <c r="G51" s="41" t="s">
        <v>213</v>
      </c>
      <c r="H51" s="42"/>
      <c r="I51" s="51" t="s">
        <v>214</v>
      </c>
      <c r="J51" s="59" t="s">
        <v>87</v>
      </c>
      <c r="K51" s="210" t="s">
        <v>65</v>
      </c>
      <c r="L51" s="214"/>
      <c r="M51" s="51" t="s">
        <v>215</v>
      </c>
      <c r="N51" s="44" t="s">
        <v>65</v>
      </c>
      <c r="O51" s="47">
        <f t="shared" ref="O51:O54" si="13">IF(J51="Ya/Tidak",IF(N51="Ya",1,IF(N51="Tidak",0,"Blm Diisi")),IF(J51="A/B/C",IF(N51="A",1,IF(N51="B",0.5,IF(N51="C",0,"Blm Diisi"))),IF(J51="A/B/C/D",IF(N51="A",1,IF(N51="B",0.67,IF(N51="C",0.33,IF(N51="D",0,"Blm Diisi")))),IF(J51="A/B/C/D/E",IF(N51="A",1,IF(N51="B",0.75,IF(N51="C",0.5,IF(N51="D",0.25,IF(N51="E",0,"Blm Diisi"))))),IF(J51="%",IF(N51="","Blm Diisi",N51),IF(J51="Jumlah",IF(N51="","Blm Diisi",""),IF(J51="Rupiah",IF(N51="","Blm Diisi",""),IF(J51="","","-"))))))))</f>
        <v>1</v>
      </c>
      <c r="P51" s="48"/>
      <c r="Q51" s="41"/>
      <c r="R51" s="212" t="s">
        <v>216</v>
      </c>
      <c r="S51" s="213"/>
      <c r="T51" s="213"/>
      <c r="U51" s="213"/>
      <c r="V51" s="213"/>
    </row>
    <row r="52" ht="283.5" spans="1:22">
      <c r="A52" s="12">
        <v>53</v>
      </c>
      <c r="B52" s="29"/>
      <c r="C52" s="35"/>
      <c r="D52" s="35"/>
      <c r="E52" s="35"/>
      <c r="F52" s="40" t="s">
        <v>61</v>
      </c>
      <c r="G52" s="41" t="s">
        <v>217</v>
      </c>
      <c r="H52" s="42"/>
      <c r="I52" s="51" t="s">
        <v>218</v>
      </c>
      <c r="J52" s="59" t="s">
        <v>87</v>
      </c>
      <c r="K52" s="210" t="s">
        <v>65</v>
      </c>
      <c r="L52" s="214"/>
      <c r="M52" s="51" t="s">
        <v>219</v>
      </c>
      <c r="N52" s="44" t="s">
        <v>65</v>
      </c>
      <c r="O52" s="47">
        <f t="shared" si="13"/>
        <v>1</v>
      </c>
      <c r="P52" s="48"/>
      <c r="Q52" s="150"/>
      <c r="R52" s="215" t="s">
        <v>220</v>
      </c>
      <c r="S52" s="213"/>
      <c r="T52" s="213"/>
      <c r="U52" s="213"/>
      <c r="V52" s="213"/>
    </row>
    <row r="53" ht="220.5" spans="1:22">
      <c r="A53" s="12">
        <v>54</v>
      </c>
      <c r="B53" s="29"/>
      <c r="C53" s="35"/>
      <c r="D53" s="35"/>
      <c r="E53" s="35"/>
      <c r="F53" s="40" t="s">
        <v>78</v>
      </c>
      <c r="G53" s="41" t="s">
        <v>221</v>
      </c>
      <c r="H53" s="42"/>
      <c r="I53" s="51" t="s">
        <v>222</v>
      </c>
      <c r="J53" s="59" t="s">
        <v>124</v>
      </c>
      <c r="K53" s="210" t="s">
        <v>65</v>
      </c>
      <c r="L53" s="213"/>
      <c r="M53" s="51" t="s">
        <v>223</v>
      </c>
      <c r="N53" s="44" t="s">
        <v>65</v>
      </c>
      <c r="O53" s="47">
        <f t="shared" si="13"/>
        <v>1</v>
      </c>
      <c r="P53" s="48"/>
      <c r="Q53" s="150"/>
      <c r="R53" s="215" t="s">
        <v>224</v>
      </c>
      <c r="S53" s="213"/>
      <c r="T53" s="213"/>
      <c r="U53" s="213"/>
      <c r="V53" s="213"/>
    </row>
    <row r="54" ht="130.5" customHeight="1" spans="1:22">
      <c r="A54" s="12">
        <v>55</v>
      </c>
      <c r="B54" s="29"/>
      <c r="C54" s="35"/>
      <c r="D54" s="35"/>
      <c r="E54" s="35"/>
      <c r="F54" s="40" t="s">
        <v>112</v>
      </c>
      <c r="G54" s="41" t="s">
        <v>225</v>
      </c>
      <c r="H54" s="42"/>
      <c r="I54" s="41" t="s">
        <v>226</v>
      </c>
      <c r="J54" s="59" t="s">
        <v>57</v>
      </c>
      <c r="K54" s="210" t="s">
        <v>58</v>
      </c>
      <c r="L54" s="214"/>
      <c r="M54" s="41" t="s">
        <v>227</v>
      </c>
      <c r="N54" s="44" t="s">
        <v>58</v>
      </c>
      <c r="O54" s="47">
        <f t="shared" si="13"/>
        <v>1</v>
      </c>
      <c r="P54" s="48"/>
      <c r="Q54" s="218"/>
      <c r="R54" s="212" t="s">
        <v>228</v>
      </c>
      <c r="S54" s="213"/>
      <c r="T54" s="213"/>
      <c r="U54" s="213"/>
      <c r="V54" s="213"/>
    </row>
    <row r="55" ht="15.75" spans="1:22">
      <c r="A55" s="12">
        <v>56</v>
      </c>
      <c r="B55" s="30"/>
      <c r="C55" s="35"/>
      <c r="D55" s="35"/>
      <c r="E55" s="35" t="s">
        <v>229</v>
      </c>
      <c r="F55" s="29" t="s">
        <v>230</v>
      </c>
      <c r="G55" s="30"/>
      <c r="H55" s="36">
        <v>0.75</v>
      </c>
      <c r="I55" s="37"/>
      <c r="J55" s="36"/>
      <c r="K55" s="36"/>
      <c r="L55" s="216"/>
      <c r="M55" s="55"/>
      <c r="N55" s="36"/>
      <c r="O55" s="36">
        <f>AVERAGE(O56)*H55</f>
        <v>0.75</v>
      </c>
      <c r="P55" s="38">
        <f>O55/H55</f>
        <v>1</v>
      </c>
      <c r="Q55" s="39"/>
      <c r="R55" s="217"/>
      <c r="S55" s="39"/>
      <c r="T55" s="39"/>
      <c r="U55" s="39"/>
      <c r="V55" s="39"/>
    </row>
    <row r="56" ht="334.5" customHeight="1" spans="1:22">
      <c r="A56" s="62">
        <v>57</v>
      </c>
      <c r="B56" s="63"/>
      <c r="C56" s="64"/>
      <c r="D56" s="64"/>
      <c r="E56" s="64"/>
      <c r="F56" s="320" t="s">
        <v>54</v>
      </c>
      <c r="G56" s="66" t="s">
        <v>231</v>
      </c>
      <c r="H56" s="67"/>
      <c r="I56" s="68" t="s">
        <v>232</v>
      </c>
      <c r="J56" s="69" t="s">
        <v>87</v>
      </c>
      <c r="K56" s="210" t="s">
        <v>65</v>
      </c>
      <c r="L56" s="214"/>
      <c r="M56" s="51" t="s">
        <v>233</v>
      </c>
      <c r="N56" s="44" t="s">
        <v>65</v>
      </c>
      <c r="O56" s="47">
        <f>IF(J56="Ya/Tidak",IF(N56="Ya",1,IF(N56="Tidak",0,"Blm Diisi")),IF(J56="A/B/C",IF(N56="A",1,IF(N56="B",0.5,IF(N56="C",0,"Blm Diisi"))),IF(J56="A/B/C/D",IF(N56="A",1,IF(N56="B",0.67,IF(N56="C",0.33,IF(N56="D",0,"Blm Diisi")))),IF(J56="A/B/C/D/E",IF(N56="A",1,IF(N56="B",0.75,IF(N56="C",0.5,IF(N56="D",0.25,IF(N56="E",0,"Blm Diisi"))))),IF(J56="%",IF(N56="","Blm Diisi",N56),IF(J56="Jumlah",IF(N56="","Blm Diisi",""),IF(J56="Rupiah",IF(N56="","Blm Diisi",""),IF(J56="","","-"))))))))</f>
        <v>1</v>
      </c>
      <c r="P56" s="48"/>
      <c r="Q56" s="51"/>
      <c r="R56" s="212" t="s">
        <v>234</v>
      </c>
      <c r="S56" s="213"/>
      <c r="T56" s="213"/>
      <c r="U56" s="213"/>
      <c r="V56" s="213"/>
    </row>
    <row r="57" ht="15.75" spans="1:22">
      <c r="A57" s="12">
        <v>58</v>
      </c>
      <c r="B57" s="30"/>
      <c r="C57" s="35"/>
      <c r="D57" s="35"/>
      <c r="E57" s="35" t="s">
        <v>235</v>
      </c>
      <c r="F57" s="29" t="s">
        <v>236</v>
      </c>
      <c r="G57" s="30"/>
      <c r="H57" s="36">
        <v>0.25</v>
      </c>
      <c r="I57" s="37"/>
      <c r="J57" s="36"/>
      <c r="K57" s="36"/>
      <c r="L57" s="216"/>
      <c r="M57" s="55"/>
      <c r="N57" s="36"/>
      <c r="O57" s="36">
        <f>AVERAGE(O58)*H57</f>
        <v>0.25</v>
      </c>
      <c r="P57" s="38">
        <f>O57/H57</f>
        <v>1</v>
      </c>
      <c r="Q57" s="39"/>
      <c r="R57" s="217"/>
      <c r="S57" s="39"/>
      <c r="T57" s="39"/>
      <c r="U57" s="39"/>
      <c r="V57" s="39"/>
    </row>
    <row r="58" ht="157.5" spans="1:22">
      <c r="A58" s="12">
        <v>59</v>
      </c>
      <c r="B58" s="29"/>
      <c r="C58" s="35"/>
      <c r="D58" s="35"/>
      <c r="E58" s="35"/>
      <c r="F58" s="321" t="s">
        <v>54</v>
      </c>
      <c r="G58" s="41" t="s">
        <v>237</v>
      </c>
      <c r="H58" s="42"/>
      <c r="I58" s="51" t="s">
        <v>238</v>
      </c>
      <c r="J58" s="59" t="s">
        <v>64</v>
      </c>
      <c r="K58" s="210" t="s">
        <v>65</v>
      </c>
      <c r="L58" s="213"/>
      <c r="M58" s="51" t="s">
        <v>239</v>
      </c>
      <c r="N58" s="44" t="s">
        <v>65</v>
      </c>
      <c r="O58" s="47">
        <f>IF(J58="Ya/Tidak",IF(N58="Ya",1,IF(N58="Tidak",0,"Blm Diisi")),IF(J58="A/B/C",IF(N58="A",1,IF(N58="B",0.5,IF(N58="C",0,"Blm Diisi"))),IF(J58="A/B/C/D",IF(N58="A",1,IF(N58="B",0.67,IF(N58="C",0.33,IF(N58="D",0,"Blm Diisi")))),IF(J58="A/B/C/D/E",IF(N58="A",1,IF(N58="B",0.75,IF(N58="C",0.5,IF(N58="D",0.25,IF(N58="E",0,"Blm Diisi"))))),IF(J58="%",IF(N58="","Blm Diisi",N58),IF(J58="Jumlah",IF(N58="","Blm Diisi",""),IF(J58="Rupiah",IF(N58="","Blm Diisi",""),IF(J58="","","-"))))))))</f>
        <v>1</v>
      </c>
      <c r="P58" s="48"/>
      <c r="Q58" s="51"/>
      <c r="R58" s="212" t="s">
        <v>240</v>
      </c>
      <c r="S58" s="213"/>
      <c r="T58" s="213"/>
      <c r="U58" s="213"/>
      <c r="V58" s="213"/>
    </row>
    <row r="59" ht="15.75" spans="1:22">
      <c r="A59" s="12">
        <v>60</v>
      </c>
      <c r="B59" s="26"/>
      <c r="C59" s="61"/>
      <c r="D59" s="28" t="s">
        <v>17</v>
      </c>
      <c r="E59" s="29" t="s">
        <v>18</v>
      </c>
      <c r="F59" s="29"/>
      <c r="G59" s="30"/>
      <c r="H59" s="31">
        <v>5</v>
      </c>
      <c r="I59" s="32"/>
      <c r="J59" s="31"/>
      <c r="K59" s="31"/>
      <c r="L59" s="216"/>
      <c r="M59" s="55"/>
      <c r="N59" s="31"/>
      <c r="O59" s="31">
        <f>SUM(O60,O64)</f>
        <v>5</v>
      </c>
      <c r="P59" s="33">
        <f t="shared" ref="P59:P60" si="14">O59/H59</f>
        <v>1</v>
      </c>
      <c r="Q59" s="34"/>
      <c r="R59" s="217"/>
      <c r="S59" s="34"/>
      <c r="T59" s="34"/>
      <c r="U59" s="34"/>
      <c r="V59" s="34"/>
    </row>
    <row r="60" ht="15.75" spans="1:22">
      <c r="A60" s="12">
        <v>61</v>
      </c>
      <c r="B60" s="30"/>
      <c r="C60" s="35"/>
      <c r="D60" s="35"/>
      <c r="E60" s="35" t="s">
        <v>52</v>
      </c>
      <c r="F60" s="29" t="s">
        <v>241</v>
      </c>
      <c r="G60" s="30"/>
      <c r="H60" s="36">
        <v>2.5</v>
      </c>
      <c r="I60" s="37"/>
      <c r="J60" s="36"/>
      <c r="K60" s="36"/>
      <c r="L60" s="216"/>
      <c r="M60" s="55"/>
      <c r="N60" s="36"/>
      <c r="O60" s="36">
        <f>AVERAGE(O61:O63)*H60</f>
        <v>2.5</v>
      </c>
      <c r="P60" s="38">
        <f t="shared" si="14"/>
        <v>1</v>
      </c>
      <c r="Q60" s="39"/>
      <c r="R60" s="217"/>
      <c r="S60" s="39"/>
      <c r="T60" s="39"/>
      <c r="U60" s="39"/>
      <c r="V60" s="39"/>
    </row>
    <row r="61" ht="409.5" spans="1:22">
      <c r="A61" s="12">
        <v>62</v>
      </c>
      <c r="B61" s="29"/>
      <c r="C61" s="35"/>
      <c r="D61" s="35"/>
      <c r="E61" s="35"/>
      <c r="F61" s="40" t="s">
        <v>54</v>
      </c>
      <c r="G61" s="41" t="s">
        <v>242</v>
      </c>
      <c r="H61" s="42"/>
      <c r="I61" s="51" t="s">
        <v>243</v>
      </c>
      <c r="J61" s="59" t="s">
        <v>64</v>
      </c>
      <c r="K61" s="210" t="s">
        <v>65</v>
      </c>
      <c r="L61" s="214"/>
      <c r="M61" s="51" t="s">
        <v>244</v>
      </c>
      <c r="N61" s="44" t="s">
        <v>65</v>
      </c>
      <c r="O61" s="47">
        <f t="shared" ref="O61:O63" si="15">IF(J61="Ya/Tidak",IF(N61="Ya",1,IF(N61="Tidak",0,"Blm Diisi")),IF(J61="A/B/C",IF(N61="A",1,IF(N61="B",0.5,IF(N61="C",0,"Blm Diisi"))),IF(J61="A/B/C/D",IF(N61="A",1,IF(N61="B",0.67,IF(N61="C",0.33,IF(N61="D",0,"Blm Diisi")))),IF(J61="A/B/C/D/E",IF(N61="A",1,IF(N61="B",0.75,IF(N61="C",0.5,IF(N61="D",0.25,IF(N61="E",0,"Blm Diisi"))))),IF(J61="%",IF(N61="","Blm Diisi",N61),IF(J61="Jumlah",IF(N61="","Blm Diisi",""),IF(J61="Rupiah",IF(N61="","Blm Diisi",""),IF(J61="","","-"))))))))</f>
        <v>1</v>
      </c>
      <c r="P61" s="48"/>
      <c r="Q61" s="41"/>
      <c r="R61" s="212" t="s">
        <v>245</v>
      </c>
      <c r="S61" s="213"/>
      <c r="T61" s="213"/>
      <c r="U61" s="213"/>
      <c r="V61" s="213"/>
    </row>
    <row r="62" ht="173.25" spans="1:22">
      <c r="A62" s="12">
        <v>63</v>
      </c>
      <c r="B62" s="29"/>
      <c r="C62" s="35"/>
      <c r="D62" s="35"/>
      <c r="E62" s="35"/>
      <c r="F62" s="40" t="s">
        <v>61</v>
      </c>
      <c r="G62" s="41" t="s">
        <v>246</v>
      </c>
      <c r="H62" s="42"/>
      <c r="I62" s="51" t="s">
        <v>247</v>
      </c>
      <c r="J62" s="59" t="s">
        <v>64</v>
      </c>
      <c r="K62" s="210" t="s">
        <v>65</v>
      </c>
      <c r="L62" s="214"/>
      <c r="M62" s="51" t="s">
        <v>248</v>
      </c>
      <c r="N62" s="44" t="s">
        <v>65</v>
      </c>
      <c r="O62" s="47">
        <f t="shared" si="15"/>
        <v>1</v>
      </c>
      <c r="P62" s="48"/>
      <c r="Q62" s="86"/>
      <c r="R62" s="212" t="s">
        <v>249</v>
      </c>
      <c r="S62" s="213"/>
      <c r="T62" s="213"/>
      <c r="U62" s="213"/>
      <c r="V62" s="213"/>
    </row>
    <row r="63" ht="267.75" spans="1:22">
      <c r="A63" s="12">
        <v>64</v>
      </c>
      <c r="B63" s="29"/>
      <c r="C63" s="35"/>
      <c r="D63" s="35"/>
      <c r="E63" s="35"/>
      <c r="F63" s="40" t="s">
        <v>78</v>
      </c>
      <c r="G63" s="41" t="s">
        <v>250</v>
      </c>
      <c r="H63" s="42"/>
      <c r="I63" s="51" t="s">
        <v>251</v>
      </c>
      <c r="J63" s="59" t="s">
        <v>87</v>
      </c>
      <c r="K63" s="210" t="s">
        <v>65</v>
      </c>
      <c r="L63" s="214"/>
      <c r="M63" s="51" t="s">
        <v>252</v>
      </c>
      <c r="N63" s="44" t="s">
        <v>65</v>
      </c>
      <c r="O63" s="47">
        <f t="shared" si="15"/>
        <v>1</v>
      </c>
      <c r="P63" s="48"/>
      <c r="Q63" s="150"/>
      <c r="R63" s="215" t="s">
        <v>253</v>
      </c>
      <c r="S63" s="213"/>
      <c r="T63" s="213"/>
      <c r="U63" s="213"/>
      <c r="V63" s="213"/>
    </row>
    <row r="64" ht="15.75" spans="1:22">
      <c r="A64" s="12">
        <v>65</v>
      </c>
      <c r="B64" s="30"/>
      <c r="C64" s="35"/>
      <c r="D64" s="35"/>
      <c r="E64" s="35" t="s">
        <v>68</v>
      </c>
      <c r="F64" s="29" t="s">
        <v>254</v>
      </c>
      <c r="G64" s="30"/>
      <c r="H64" s="36">
        <v>2.5</v>
      </c>
      <c r="I64" s="37"/>
      <c r="J64" s="36"/>
      <c r="K64" s="36"/>
      <c r="L64" s="216"/>
      <c r="M64" s="55"/>
      <c r="N64" s="36"/>
      <c r="O64" s="36">
        <f>AVERAGE(O65:O72)*H64</f>
        <v>2.5</v>
      </c>
      <c r="P64" s="38">
        <f>O64/H64</f>
        <v>1</v>
      </c>
      <c r="Q64" s="78"/>
      <c r="R64" s="227"/>
      <c r="S64" s="39"/>
      <c r="T64" s="39"/>
      <c r="U64" s="39"/>
      <c r="V64" s="39"/>
    </row>
    <row r="65" ht="150.75" customHeight="1" spans="1:22">
      <c r="A65" s="12">
        <v>66</v>
      </c>
      <c r="B65" s="29"/>
      <c r="C65" s="35"/>
      <c r="D65" s="35"/>
      <c r="E65" s="35"/>
      <c r="F65" s="40" t="s">
        <v>54</v>
      </c>
      <c r="G65" s="51" t="s">
        <v>255</v>
      </c>
      <c r="H65" s="42"/>
      <c r="I65" s="51" t="s">
        <v>256</v>
      </c>
      <c r="J65" s="59" t="s">
        <v>57</v>
      </c>
      <c r="K65" s="210" t="s">
        <v>58</v>
      </c>
      <c r="L65" s="214"/>
      <c r="M65" s="51" t="s">
        <v>257</v>
      </c>
      <c r="N65" s="44" t="s">
        <v>58</v>
      </c>
      <c r="O65" s="47">
        <f t="shared" ref="O65:O72" si="16">IF(J65="Ya/Tidak",IF(N65="Ya",1,IF(N65="Tidak",0,"Blm Diisi")),IF(J65="A/B/C",IF(N65="A",1,IF(N65="B",0.5,IF(N65="C",0,"Blm Diisi"))),IF(J65="A/B/C/D",IF(N65="A",1,IF(N65="B",0.67,IF(N65="C",0.33,IF(N65="D",0,"Blm Diisi")))),IF(J65="A/B/C/D/E",IF(N65="A",1,IF(N65="B",0.75,IF(N65="C",0.5,IF(N65="D",0.25,IF(N65="E",0,"Blm Diisi"))))),IF(J65="%",IF(N65="","Blm Diisi",N65),IF(J65="Jumlah",IF(N65="","Blm Diisi",""),IF(J65="Rupiah",IF(N65="","Blm Diisi",""),IF(J65="","","-"))))))))</f>
        <v>1</v>
      </c>
      <c r="P65" s="79"/>
      <c r="Q65" s="41"/>
      <c r="R65" s="212" t="s">
        <v>258</v>
      </c>
      <c r="S65" s="213"/>
      <c r="T65" s="213"/>
      <c r="U65" s="213"/>
      <c r="V65" s="213"/>
    </row>
    <row r="66" ht="151.5" customHeight="1" spans="1:22">
      <c r="A66" s="12">
        <v>67</v>
      </c>
      <c r="B66" s="29"/>
      <c r="C66" s="35"/>
      <c r="D66" s="35"/>
      <c r="E66" s="35"/>
      <c r="F66" s="40" t="s">
        <v>61</v>
      </c>
      <c r="G66" s="51" t="s">
        <v>259</v>
      </c>
      <c r="H66" s="42"/>
      <c r="I66" s="51" t="s">
        <v>260</v>
      </c>
      <c r="J66" s="59" t="s">
        <v>57</v>
      </c>
      <c r="K66" s="210" t="s">
        <v>58</v>
      </c>
      <c r="L66" s="214"/>
      <c r="M66" s="51" t="s">
        <v>261</v>
      </c>
      <c r="N66" s="44" t="s">
        <v>58</v>
      </c>
      <c r="O66" s="47">
        <f t="shared" si="16"/>
        <v>1</v>
      </c>
      <c r="P66" s="79"/>
      <c r="Q66" s="86"/>
      <c r="R66" s="212" t="s">
        <v>262</v>
      </c>
      <c r="S66" s="213"/>
      <c r="T66" s="213"/>
      <c r="U66" s="213"/>
      <c r="V66" s="213"/>
    </row>
    <row r="67" ht="116.25" customHeight="1" spans="1:22">
      <c r="A67" s="12">
        <v>68</v>
      </c>
      <c r="B67" s="29"/>
      <c r="C67" s="35"/>
      <c r="D67" s="35"/>
      <c r="E67" s="35"/>
      <c r="F67" s="40" t="s">
        <v>78</v>
      </c>
      <c r="G67" s="51" t="s">
        <v>263</v>
      </c>
      <c r="H67" s="42"/>
      <c r="I67" s="41" t="s">
        <v>264</v>
      </c>
      <c r="J67" s="59" t="s">
        <v>57</v>
      </c>
      <c r="K67" s="210" t="s">
        <v>58</v>
      </c>
      <c r="L67" s="214"/>
      <c r="M67" s="41" t="s">
        <v>265</v>
      </c>
      <c r="N67" s="44" t="s">
        <v>58</v>
      </c>
      <c r="O67" s="47">
        <f t="shared" si="16"/>
        <v>1</v>
      </c>
      <c r="P67" s="79"/>
      <c r="Q67" s="86"/>
      <c r="R67" s="212" t="s">
        <v>266</v>
      </c>
      <c r="S67" s="213"/>
      <c r="T67" s="213"/>
      <c r="U67" s="213"/>
      <c r="V67" s="213"/>
    </row>
    <row r="68" ht="148.5" customHeight="1" spans="1:22">
      <c r="A68" s="12">
        <v>69</v>
      </c>
      <c r="B68" s="29"/>
      <c r="C68" s="35"/>
      <c r="D68" s="35"/>
      <c r="E68" s="35"/>
      <c r="F68" s="40" t="s">
        <v>112</v>
      </c>
      <c r="G68" s="51" t="s">
        <v>267</v>
      </c>
      <c r="H68" s="42"/>
      <c r="I68" s="51" t="s">
        <v>268</v>
      </c>
      <c r="J68" s="59" t="s">
        <v>87</v>
      </c>
      <c r="K68" s="210" t="s">
        <v>65</v>
      </c>
      <c r="L68" s="214"/>
      <c r="M68" s="41" t="s">
        <v>269</v>
      </c>
      <c r="N68" s="44" t="s">
        <v>65</v>
      </c>
      <c r="O68" s="47">
        <f t="shared" si="16"/>
        <v>1</v>
      </c>
      <c r="P68" s="79"/>
      <c r="Q68" s="86"/>
      <c r="R68" s="212" t="s">
        <v>270</v>
      </c>
      <c r="S68" s="213"/>
      <c r="T68" s="213"/>
      <c r="U68" s="213"/>
      <c r="V68" s="213"/>
    </row>
    <row r="69" ht="236.25" spans="1:22">
      <c r="A69" s="12">
        <v>70</v>
      </c>
      <c r="B69" s="29"/>
      <c r="C69" s="35"/>
      <c r="D69" s="35"/>
      <c r="E69" s="35"/>
      <c r="F69" s="40" t="s">
        <v>201</v>
      </c>
      <c r="G69" s="51" t="s">
        <v>271</v>
      </c>
      <c r="H69" s="42"/>
      <c r="I69" s="41" t="s">
        <v>272</v>
      </c>
      <c r="J69" s="59" t="s">
        <v>57</v>
      </c>
      <c r="K69" s="210" t="s">
        <v>58</v>
      </c>
      <c r="L69" s="214"/>
      <c r="M69" s="41" t="s">
        <v>273</v>
      </c>
      <c r="N69" s="44" t="s">
        <v>58</v>
      </c>
      <c r="O69" s="47">
        <f t="shared" si="16"/>
        <v>1</v>
      </c>
      <c r="P69" s="79"/>
      <c r="Q69" s="86"/>
      <c r="R69" s="212" t="s">
        <v>274</v>
      </c>
      <c r="S69" s="213"/>
      <c r="T69" s="213"/>
      <c r="U69" s="213"/>
      <c r="V69" s="213"/>
    </row>
    <row r="70" ht="129" customHeight="1" spans="1:22">
      <c r="A70" s="12">
        <v>71</v>
      </c>
      <c r="B70" s="29"/>
      <c r="C70" s="35"/>
      <c r="D70" s="35"/>
      <c r="E70" s="35"/>
      <c r="F70" s="40" t="s">
        <v>206</v>
      </c>
      <c r="G70" s="51" t="s">
        <v>275</v>
      </c>
      <c r="H70" s="42"/>
      <c r="I70" s="51" t="s">
        <v>276</v>
      </c>
      <c r="J70" s="59" t="s">
        <v>64</v>
      </c>
      <c r="K70" s="210" t="s">
        <v>65</v>
      </c>
      <c r="L70" s="214"/>
      <c r="M70" s="51" t="s">
        <v>277</v>
      </c>
      <c r="N70" s="44" t="s">
        <v>65</v>
      </c>
      <c r="O70" s="47">
        <f t="shared" si="16"/>
        <v>1</v>
      </c>
      <c r="P70" s="79"/>
      <c r="Q70" s="86"/>
      <c r="R70" s="212" t="s">
        <v>278</v>
      </c>
      <c r="S70" s="213"/>
      <c r="T70" s="213"/>
      <c r="U70" s="213"/>
      <c r="V70" s="213"/>
    </row>
    <row r="71" ht="226.5" customHeight="1" spans="1:22">
      <c r="A71" s="12">
        <v>72</v>
      </c>
      <c r="B71" s="29"/>
      <c r="C71" s="35"/>
      <c r="D71" s="35"/>
      <c r="E71" s="35"/>
      <c r="F71" s="40" t="s">
        <v>279</v>
      </c>
      <c r="G71" s="41" t="s">
        <v>280</v>
      </c>
      <c r="H71" s="42"/>
      <c r="I71" s="51" t="s">
        <v>281</v>
      </c>
      <c r="J71" s="59" t="s">
        <v>57</v>
      </c>
      <c r="K71" s="210" t="s">
        <v>58</v>
      </c>
      <c r="L71" s="213"/>
      <c r="M71" s="51" t="s">
        <v>282</v>
      </c>
      <c r="N71" s="44" t="s">
        <v>58</v>
      </c>
      <c r="O71" s="47">
        <f t="shared" si="16"/>
        <v>1</v>
      </c>
      <c r="P71" s="79"/>
      <c r="Q71" s="86"/>
      <c r="R71" s="212" t="s">
        <v>283</v>
      </c>
      <c r="S71" s="213"/>
      <c r="T71" s="213"/>
      <c r="U71" s="213"/>
      <c r="V71" s="213"/>
    </row>
    <row r="72" ht="409.5" customHeight="1" spans="1:22">
      <c r="A72" s="12">
        <v>73</v>
      </c>
      <c r="B72" s="29"/>
      <c r="C72" s="35"/>
      <c r="D72" s="35"/>
      <c r="E72" s="35"/>
      <c r="F72" s="40" t="s">
        <v>284</v>
      </c>
      <c r="G72" s="41" t="s">
        <v>285</v>
      </c>
      <c r="H72" s="42"/>
      <c r="I72" s="51" t="s">
        <v>286</v>
      </c>
      <c r="J72" s="59" t="s">
        <v>64</v>
      </c>
      <c r="K72" s="210" t="s">
        <v>65</v>
      </c>
      <c r="L72" s="214"/>
      <c r="M72" s="51" t="s">
        <v>287</v>
      </c>
      <c r="N72" s="44" t="s">
        <v>65</v>
      </c>
      <c r="O72" s="47">
        <f t="shared" si="16"/>
        <v>1</v>
      </c>
      <c r="P72" s="79"/>
      <c r="Q72" s="86"/>
      <c r="R72" s="212" t="s">
        <v>288</v>
      </c>
      <c r="S72" s="213"/>
      <c r="T72" s="213"/>
      <c r="U72" s="213"/>
      <c r="V72" s="213"/>
    </row>
    <row r="73" ht="15.75" spans="1:22">
      <c r="A73" s="12">
        <v>74</v>
      </c>
      <c r="B73" s="26"/>
      <c r="C73" s="61"/>
      <c r="D73" s="28" t="s">
        <v>19</v>
      </c>
      <c r="E73" s="29" t="s">
        <v>20</v>
      </c>
      <c r="F73" s="29"/>
      <c r="G73" s="30"/>
      <c r="H73" s="31">
        <v>7.5</v>
      </c>
      <c r="I73" s="32"/>
      <c r="J73" s="31"/>
      <c r="K73" s="31"/>
      <c r="L73" s="216"/>
      <c r="M73" s="55"/>
      <c r="N73" s="31"/>
      <c r="O73" s="31">
        <f>SUM(O74,O77,O82,O87,O91)</f>
        <v>7.5</v>
      </c>
      <c r="P73" s="33">
        <f t="shared" ref="P73:P74" si="17">O73/H73</f>
        <v>1</v>
      </c>
      <c r="Q73" s="80"/>
      <c r="R73" s="228"/>
      <c r="S73" s="34"/>
      <c r="T73" s="34"/>
      <c r="U73" s="34"/>
      <c r="V73" s="34"/>
    </row>
    <row r="74" ht="15.75" spans="1:22">
      <c r="A74" s="12">
        <v>75</v>
      </c>
      <c r="B74" s="30"/>
      <c r="C74" s="35"/>
      <c r="D74" s="35"/>
      <c r="E74" s="35" t="s">
        <v>52</v>
      </c>
      <c r="F74" s="29" t="s">
        <v>289</v>
      </c>
      <c r="G74" s="30"/>
      <c r="H74" s="36">
        <v>1.5</v>
      </c>
      <c r="I74" s="37"/>
      <c r="J74" s="36"/>
      <c r="K74" s="36"/>
      <c r="L74" s="216"/>
      <c r="M74" s="55"/>
      <c r="N74" s="36"/>
      <c r="O74" s="36">
        <f>AVERAGE(O75:O76)*H74</f>
        <v>1.5</v>
      </c>
      <c r="P74" s="38">
        <f t="shared" si="17"/>
        <v>1</v>
      </c>
      <c r="Q74" s="81"/>
      <c r="R74" s="229"/>
      <c r="S74" s="39"/>
      <c r="T74" s="39"/>
      <c r="U74" s="39"/>
      <c r="V74" s="39"/>
    </row>
    <row r="75" ht="236.25" spans="1:22">
      <c r="A75" s="12">
        <v>76</v>
      </c>
      <c r="B75" s="29"/>
      <c r="C75" s="35"/>
      <c r="D75" s="35"/>
      <c r="E75" s="35"/>
      <c r="F75" s="40" t="s">
        <v>54</v>
      </c>
      <c r="G75" s="41" t="s">
        <v>290</v>
      </c>
      <c r="H75" s="42"/>
      <c r="I75" s="51" t="s">
        <v>291</v>
      </c>
      <c r="J75" s="59" t="s">
        <v>64</v>
      </c>
      <c r="K75" s="210" t="s">
        <v>65</v>
      </c>
      <c r="L75" s="214"/>
      <c r="M75" s="51" t="s">
        <v>292</v>
      </c>
      <c r="N75" s="44" t="s">
        <v>65</v>
      </c>
      <c r="O75" s="47">
        <f t="shared" ref="O75:O76" si="18">IF(J75="Ya/Tidak",IF(N75="Ya",1,IF(N75="Tidak",0,"Blm Diisi")),IF(J75="A/B/C",IF(N75="A",1,IF(N75="B",0.5,IF(N75="C",0,"Blm Diisi"))),IF(J75="A/B/C/D",IF(N75="A",1,IF(N75="B",0.67,IF(N75="C",0.33,IF(N75="D",0,"Blm Diisi")))),IF(J75="A/B/C/D/E",IF(N75="A",1,IF(N75="B",0.75,IF(N75="C",0.5,IF(N75="D",0.25,IF(N75="E",0,"Blm Diisi"))))),IF(J75="%",IF(N75="","Blm Diisi",N75),IF(J75="Jumlah",IF(N75="","Blm Diisi",""),IF(J75="Rupiah",IF(N75="","Blm Diisi",""),IF(J75="","","-"))))))))</f>
        <v>1</v>
      </c>
      <c r="P75" s="48"/>
      <c r="Q75" s="230"/>
      <c r="R75" s="231" t="s">
        <v>293</v>
      </c>
      <c r="S75" s="213"/>
      <c r="T75" s="213"/>
      <c r="U75" s="213"/>
      <c r="V75" s="213"/>
    </row>
    <row r="76" ht="189" spans="1:22">
      <c r="A76" s="12">
        <v>77</v>
      </c>
      <c r="B76" s="29"/>
      <c r="C76" s="35"/>
      <c r="D76" s="35"/>
      <c r="E76" s="35"/>
      <c r="F76" s="40" t="s">
        <v>61</v>
      </c>
      <c r="G76" s="41" t="s">
        <v>294</v>
      </c>
      <c r="H76" s="42"/>
      <c r="I76" s="51" t="s">
        <v>295</v>
      </c>
      <c r="J76" s="59" t="s">
        <v>87</v>
      </c>
      <c r="K76" s="210" t="s">
        <v>65</v>
      </c>
      <c r="L76" s="214"/>
      <c r="M76" s="51" t="s">
        <v>296</v>
      </c>
      <c r="N76" s="44" t="s">
        <v>65</v>
      </c>
      <c r="O76" s="47">
        <f t="shared" si="18"/>
        <v>1</v>
      </c>
      <c r="P76" s="48"/>
      <c r="Q76" s="86"/>
      <c r="R76" s="212" t="s">
        <v>297</v>
      </c>
      <c r="S76" s="213"/>
      <c r="T76" s="213"/>
      <c r="U76" s="213"/>
      <c r="V76" s="213"/>
    </row>
    <row r="77" ht="15.75" spans="1:22">
      <c r="A77" s="12">
        <v>78</v>
      </c>
      <c r="B77" s="30"/>
      <c r="C77" s="35"/>
      <c r="D77" s="35"/>
      <c r="E77" s="35" t="s">
        <v>68</v>
      </c>
      <c r="F77" s="29" t="s">
        <v>298</v>
      </c>
      <c r="G77" s="30"/>
      <c r="H77" s="36">
        <v>1.5</v>
      </c>
      <c r="I77" s="37"/>
      <c r="J77" s="36"/>
      <c r="K77" s="36"/>
      <c r="L77" s="216"/>
      <c r="M77" s="55"/>
      <c r="N77" s="36"/>
      <c r="O77" s="36">
        <f>AVERAGE(O78:O81)*H77</f>
        <v>1.5</v>
      </c>
      <c r="P77" s="38">
        <f>O77/H77</f>
        <v>1</v>
      </c>
      <c r="Q77" s="78"/>
      <c r="R77" s="227"/>
      <c r="S77" s="39"/>
      <c r="T77" s="39"/>
      <c r="U77" s="39"/>
      <c r="V77" s="39"/>
    </row>
    <row r="78" ht="276" customHeight="1" spans="1:22">
      <c r="A78" s="12">
        <v>79</v>
      </c>
      <c r="B78" s="29"/>
      <c r="C78" s="35"/>
      <c r="D78" s="35"/>
      <c r="E78" s="35"/>
      <c r="F78" s="40" t="s">
        <v>54</v>
      </c>
      <c r="G78" s="41" t="s">
        <v>299</v>
      </c>
      <c r="H78" s="42"/>
      <c r="I78" s="51" t="s">
        <v>300</v>
      </c>
      <c r="J78" s="59" t="s">
        <v>124</v>
      </c>
      <c r="K78" s="210" t="s">
        <v>65</v>
      </c>
      <c r="L78" s="214"/>
      <c r="M78" s="51" t="s">
        <v>301</v>
      </c>
      <c r="N78" s="44" t="s">
        <v>65</v>
      </c>
      <c r="O78" s="47">
        <f t="shared" ref="O78:O81" si="19">IF(J78="Ya/Tidak",IF(N78="Ya",1,IF(N78="Tidak",0,"Blm Diisi")),IF(J78="A/B/C",IF(N78="A",1,IF(N78="B",0.5,IF(N78="C",0,"Blm Diisi"))),IF(J78="A/B/C/D",IF(N78="A",1,IF(N78="B",0.67,IF(N78="C",0.33,IF(N78="D",0,"Blm Diisi")))),IF(J78="A/B/C/D/E",IF(N78="A",1,IF(N78="B",0.75,IF(N78="C",0.5,IF(N78="D",0.25,IF(N78="E",0,"Blm Diisi"))))),IF(J78="%",IF(N78="","Blm Diisi",N78),IF(J78="Jumlah",IF(N78="","Blm Diisi",""),IF(J78="Rupiah",IF(N78="","Blm Diisi",""),IF(J78="","","-"))))))))</f>
        <v>1</v>
      </c>
      <c r="P78" s="79"/>
      <c r="Q78" s="41"/>
      <c r="R78" s="212" t="s">
        <v>302</v>
      </c>
      <c r="S78" s="213"/>
      <c r="T78" s="213"/>
      <c r="U78" s="213"/>
      <c r="V78" s="213"/>
    </row>
    <row r="79" ht="299.25" spans="1:22">
      <c r="A79" s="12">
        <v>80</v>
      </c>
      <c r="B79" s="29"/>
      <c r="C79" s="35"/>
      <c r="D79" s="35"/>
      <c r="E79" s="35"/>
      <c r="F79" s="40" t="s">
        <v>61</v>
      </c>
      <c r="G79" s="41" t="s">
        <v>303</v>
      </c>
      <c r="H79" s="42"/>
      <c r="I79" s="51" t="s">
        <v>304</v>
      </c>
      <c r="J79" s="59" t="s">
        <v>124</v>
      </c>
      <c r="K79" s="210" t="s">
        <v>65</v>
      </c>
      <c r="L79" s="214"/>
      <c r="M79" s="51" t="s">
        <v>305</v>
      </c>
      <c r="N79" s="44" t="s">
        <v>65</v>
      </c>
      <c r="O79" s="47">
        <f t="shared" si="19"/>
        <v>1</v>
      </c>
      <c r="P79" s="79"/>
      <c r="Q79" s="86"/>
      <c r="R79" s="212" t="s">
        <v>306</v>
      </c>
      <c r="S79" s="213"/>
      <c r="T79" s="213"/>
      <c r="U79" s="213"/>
      <c r="V79" s="213"/>
    </row>
    <row r="80" ht="181.5" customHeight="1" spans="1:22">
      <c r="A80" s="12">
        <v>81</v>
      </c>
      <c r="B80" s="29"/>
      <c r="C80" s="35"/>
      <c r="D80" s="35"/>
      <c r="E80" s="35"/>
      <c r="F80" s="40" t="s">
        <v>78</v>
      </c>
      <c r="G80" s="41" t="s">
        <v>307</v>
      </c>
      <c r="H80" s="42"/>
      <c r="I80" s="51" t="s">
        <v>308</v>
      </c>
      <c r="J80" s="59" t="s">
        <v>64</v>
      </c>
      <c r="K80" s="210" t="s">
        <v>65</v>
      </c>
      <c r="L80" s="214"/>
      <c r="M80" s="51" t="s">
        <v>309</v>
      </c>
      <c r="N80" s="44" t="s">
        <v>65</v>
      </c>
      <c r="O80" s="47">
        <f t="shared" si="19"/>
        <v>1</v>
      </c>
      <c r="P80" s="79"/>
      <c r="Q80" s="86"/>
      <c r="R80" s="212" t="s">
        <v>310</v>
      </c>
      <c r="S80" s="213"/>
      <c r="T80" s="213"/>
      <c r="U80" s="213"/>
      <c r="V80" s="213"/>
    </row>
    <row r="81" ht="157.5" spans="1:22">
      <c r="A81" s="12">
        <v>82</v>
      </c>
      <c r="B81" s="29"/>
      <c r="C81" s="35"/>
      <c r="D81" s="35"/>
      <c r="E81" s="35"/>
      <c r="F81" s="40" t="s">
        <v>112</v>
      </c>
      <c r="G81" s="41" t="s">
        <v>311</v>
      </c>
      <c r="H81" s="42"/>
      <c r="I81" s="51" t="s">
        <v>312</v>
      </c>
      <c r="J81" s="59" t="s">
        <v>64</v>
      </c>
      <c r="K81" s="210" t="s">
        <v>65</v>
      </c>
      <c r="L81" s="214"/>
      <c r="M81" s="51" t="s">
        <v>313</v>
      </c>
      <c r="N81" s="44" t="s">
        <v>65</v>
      </c>
      <c r="O81" s="47">
        <f t="shared" si="19"/>
        <v>1</v>
      </c>
      <c r="P81" s="79"/>
      <c r="Q81" s="232"/>
      <c r="R81" s="212" t="s">
        <v>314</v>
      </c>
      <c r="S81" s="213"/>
      <c r="T81" s="213"/>
      <c r="U81" s="213"/>
      <c r="V81" s="213"/>
    </row>
    <row r="82" ht="15.75" spans="1:22">
      <c r="A82" s="12">
        <v>83</v>
      </c>
      <c r="B82" s="30"/>
      <c r="C82" s="35"/>
      <c r="D82" s="35"/>
      <c r="E82" s="35" t="s">
        <v>83</v>
      </c>
      <c r="F82" s="29" t="s">
        <v>315</v>
      </c>
      <c r="G82" s="30"/>
      <c r="H82" s="36">
        <v>1.5</v>
      </c>
      <c r="I82" s="37"/>
      <c r="J82" s="36"/>
      <c r="K82" s="36"/>
      <c r="L82" s="216"/>
      <c r="M82" s="55"/>
      <c r="N82" s="36"/>
      <c r="O82" s="36">
        <f>AVERAGE(O83:O86)*H82</f>
        <v>1.5</v>
      </c>
      <c r="P82" s="83">
        <f>O82/H82</f>
        <v>1</v>
      </c>
      <c r="Q82" s="39"/>
      <c r="R82" s="217"/>
      <c r="S82" s="39"/>
      <c r="T82" s="39"/>
      <c r="U82" s="39"/>
      <c r="V82" s="39"/>
    </row>
    <row r="83" ht="195" customHeight="1" spans="1:22">
      <c r="A83" s="12">
        <v>84</v>
      </c>
      <c r="B83" s="29"/>
      <c r="C83" s="35"/>
      <c r="D83" s="35"/>
      <c r="E83" s="35"/>
      <c r="F83" s="40" t="s">
        <v>54</v>
      </c>
      <c r="G83" s="41" t="s">
        <v>316</v>
      </c>
      <c r="H83" s="42"/>
      <c r="I83" s="51" t="s">
        <v>317</v>
      </c>
      <c r="J83" s="59" t="s">
        <v>64</v>
      </c>
      <c r="K83" s="210" t="s">
        <v>65</v>
      </c>
      <c r="L83" s="214"/>
      <c r="M83" s="51" t="s">
        <v>318</v>
      </c>
      <c r="N83" s="44" t="s">
        <v>65</v>
      </c>
      <c r="O83" s="47">
        <f t="shared" ref="O83:O86" si="20">IF(J83="Ya/Tidak",IF(N83="Ya",1,IF(N83="Tidak",0,"Blm Diisi")),IF(J83="A/B/C",IF(N83="A",1,IF(N83="B",0.5,IF(N83="C",0,"Blm Diisi"))),IF(J83="A/B/C/D",IF(N83="A",1,IF(N83="B",0.67,IF(N83="C",0.33,IF(N83="D",0,"Blm Diisi")))),IF(J83="A/B/C/D/E",IF(N83="A",1,IF(N83="B",0.75,IF(N83="C",0.5,IF(N83="D",0.25,IF(N83="E",0,"Blm Diisi"))))),IF(J83="%",IF(N83="","Blm Diisi",N83),IF(J83="Jumlah",IF(N83="","Blm Diisi",""),IF(J83="Rupiah",IF(N83="","Blm Diisi",""),IF(J83="","","-"))))))))</f>
        <v>1</v>
      </c>
      <c r="P83" s="79"/>
      <c r="Q83" s="41"/>
      <c r="R83" s="212" t="s">
        <v>319</v>
      </c>
      <c r="S83" s="213"/>
      <c r="T83" s="213"/>
      <c r="U83" s="213"/>
      <c r="V83" s="213"/>
    </row>
    <row r="84" ht="87" customHeight="1" spans="1:22">
      <c r="B84" s="29"/>
      <c r="C84" s="35"/>
      <c r="D84" s="35"/>
      <c r="E84" s="35"/>
      <c r="F84" s="40" t="s">
        <v>61</v>
      </c>
      <c r="G84" s="41" t="s">
        <v>320</v>
      </c>
      <c r="H84" s="42"/>
      <c r="I84" s="51" t="s">
        <v>321</v>
      </c>
      <c r="J84" s="59" t="s">
        <v>57</v>
      </c>
      <c r="K84" s="210" t="s">
        <v>58</v>
      </c>
      <c r="L84" s="233"/>
      <c r="M84" s="51" t="s">
        <v>322</v>
      </c>
      <c r="N84" s="44" t="s">
        <v>58</v>
      </c>
      <c r="O84" s="47">
        <f t="shared" si="20"/>
        <v>1</v>
      </c>
      <c r="P84" s="79"/>
      <c r="Q84" s="86"/>
      <c r="R84" s="212" t="s">
        <v>323</v>
      </c>
      <c r="S84" s="213"/>
      <c r="T84" s="213"/>
      <c r="U84" s="213"/>
      <c r="V84" s="213"/>
    </row>
    <row r="85" ht="110.25" spans="1:22">
      <c r="A85" s="12">
        <v>89</v>
      </c>
      <c r="B85" s="29"/>
      <c r="C85" s="35"/>
      <c r="D85" s="35"/>
      <c r="E85" s="35"/>
      <c r="F85" s="40" t="s">
        <v>78</v>
      </c>
      <c r="G85" s="41" t="s">
        <v>324</v>
      </c>
      <c r="H85" s="42"/>
      <c r="I85" s="51" t="s">
        <v>325</v>
      </c>
      <c r="J85" s="59" t="s">
        <v>64</v>
      </c>
      <c r="K85" s="210" t="s">
        <v>65</v>
      </c>
      <c r="L85" s="214"/>
      <c r="M85" s="51" t="s">
        <v>326</v>
      </c>
      <c r="N85" s="44" t="s">
        <v>65</v>
      </c>
      <c r="O85" s="47">
        <f t="shared" si="20"/>
        <v>1</v>
      </c>
      <c r="P85" s="79"/>
      <c r="Q85" s="86"/>
      <c r="R85" s="212" t="s">
        <v>327</v>
      </c>
      <c r="S85" s="213"/>
      <c r="T85" s="213"/>
      <c r="U85" s="213"/>
      <c r="V85" s="213"/>
    </row>
    <row r="86" ht="157.5" spans="1:22">
      <c r="A86" s="12">
        <v>90</v>
      </c>
      <c r="B86" s="29"/>
      <c r="C86" s="35"/>
      <c r="D86" s="35"/>
      <c r="E86" s="35"/>
      <c r="F86" s="40" t="s">
        <v>112</v>
      </c>
      <c r="G86" s="66" t="s">
        <v>328</v>
      </c>
      <c r="H86" s="42"/>
      <c r="I86" s="51" t="s">
        <v>329</v>
      </c>
      <c r="J86" s="59" t="s">
        <v>64</v>
      </c>
      <c r="K86" s="210" t="s">
        <v>65</v>
      </c>
      <c r="L86" s="214"/>
      <c r="M86" s="51" t="s">
        <v>330</v>
      </c>
      <c r="N86" s="44" t="s">
        <v>65</v>
      </c>
      <c r="O86" s="47">
        <f t="shared" si="20"/>
        <v>1</v>
      </c>
      <c r="P86" s="79"/>
      <c r="Q86" s="86"/>
      <c r="R86" s="212" t="s">
        <v>331</v>
      </c>
      <c r="S86" s="213"/>
      <c r="T86" s="213"/>
      <c r="U86" s="213"/>
      <c r="V86" s="213"/>
    </row>
    <row r="87" ht="15.75" spans="1:22">
      <c r="A87" s="12">
        <v>91</v>
      </c>
      <c r="B87" s="30"/>
      <c r="C87" s="35"/>
      <c r="D87" s="35"/>
      <c r="E87" s="35" t="s">
        <v>98</v>
      </c>
      <c r="F87" s="84" t="s">
        <v>332</v>
      </c>
      <c r="G87" s="85"/>
      <c r="H87" s="36">
        <v>1.5</v>
      </c>
      <c r="I87" s="37"/>
      <c r="J87" s="36"/>
      <c r="K87" s="36"/>
      <c r="L87" s="216"/>
      <c r="M87" s="55"/>
      <c r="N87" s="36"/>
      <c r="O87" s="36">
        <f>AVERAGE(O88:O90)*H87</f>
        <v>1.5</v>
      </c>
      <c r="P87" s="83">
        <f>O87/H87</f>
        <v>1</v>
      </c>
      <c r="Q87" s="39"/>
      <c r="R87" s="217"/>
      <c r="S87" s="39"/>
      <c r="T87" s="39"/>
      <c r="U87" s="39"/>
      <c r="V87" s="39"/>
    </row>
    <row r="88" ht="189" customHeight="1" spans="1:22">
      <c r="A88" s="12">
        <v>93</v>
      </c>
      <c r="B88" s="29"/>
      <c r="C88" s="29"/>
      <c r="D88" s="29"/>
      <c r="E88" s="29"/>
      <c r="F88" s="86" t="s">
        <v>54</v>
      </c>
      <c r="G88" s="41" t="s">
        <v>333</v>
      </c>
      <c r="H88" s="42"/>
      <c r="I88" s="51" t="s">
        <v>334</v>
      </c>
      <c r="J88" s="59" t="s">
        <v>64</v>
      </c>
      <c r="K88" s="210" t="s">
        <v>65</v>
      </c>
      <c r="L88" s="214"/>
      <c r="M88" s="51" t="s">
        <v>335</v>
      </c>
      <c r="N88" s="44" t="s">
        <v>65</v>
      </c>
      <c r="O88" s="47">
        <f t="shared" ref="O88:O90" si="21">IF(J88="Ya/Tidak",IF(N88="Ya",1,IF(N88="Tidak",0,"Blm Diisi")),IF(J88="A/B/C",IF(N88="A",1,IF(N88="B",0.5,IF(N88="C",0,"Blm Diisi"))),IF(J88="A/B/C/D",IF(N88="A",1,IF(N88="B",0.67,IF(N88="C",0.33,IF(N88="D",0,"Blm Diisi")))),IF(J88="A/B/C/D/E",IF(N88="A",1,IF(N88="B",0.75,IF(N88="C",0.5,IF(N88="D",0.25,IF(N88="E",0,"Blm Diisi"))))),IF(J88="%",IF(N88="","Blm Diisi",N88),IF(J88="Jumlah",IF(N88="","Blm Diisi",""),IF(J88="Rupiah",IF(N88="","Blm Diisi",""),IF(J88="","","-"))))))))</f>
        <v>1</v>
      </c>
      <c r="P88" s="79"/>
      <c r="Q88" s="41"/>
      <c r="R88" s="212" t="s">
        <v>336</v>
      </c>
      <c r="S88" s="213"/>
      <c r="T88" s="213"/>
      <c r="U88" s="213"/>
      <c r="V88" s="213"/>
    </row>
    <row r="89" ht="138" customHeight="1" spans="1:22">
      <c r="A89" s="12">
        <v>94</v>
      </c>
      <c r="B89" s="29"/>
      <c r="C89" s="35"/>
      <c r="D89" s="35"/>
      <c r="E89" s="35"/>
      <c r="F89" s="40" t="s">
        <v>61</v>
      </c>
      <c r="G89" s="41" t="s">
        <v>337</v>
      </c>
      <c r="H89" s="42"/>
      <c r="I89" s="51" t="s">
        <v>338</v>
      </c>
      <c r="J89" s="59" t="s">
        <v>64</v>
      </c>
      <c r="K89" s="210" t="s">
        <v>65</v>
      </c>
      <c r="L89" s="214"/>
      <c r="M89" s="51" t="s">
        <v>339</v>
      </c>
      <c r="N89" s="44" t="s">
        <v>65</v>
      </c>
      <c r="O89" s="47">
        <f t="shared" si="21"/>
        <v>1</v>
      </c>
      <c r="P89" s="79"/>
      <c r="Q89" s="41"/>
      <c r="R89" s="212" t="s">
        <v>340</v>
      </c>
      <c r="S89" s="213"/>
      <c r="T89" s="213"/>
      <c r="U89" s="213"/>
      <c r="V89" s="213"/>
    </row>
    <row r="90" ht="132" customHeight="1" spans="1:22">
      <c r="A90" s="12">
        <v>95</v>
      </c>
      <c r="B90" s="29"/>
      <c r="C90" s="35"/>
      <c r="D90" s="35"/>
      <c r="E90" s="35"/>
      <c r="F90" s="40" t="s">
        <v>78</v>
      </c>
      <c r="G90" s="41" t="s">
        <v>341</v>
      </c>
      <c r="H90" s="42"/>
      <c r="I90" s="51" t="s">
        <v>342</v>
      </c>
      <c r="J90" s="59" t="s">
        <v>64</v>
      </c>
      <c r="K90" s="210" t="s">
        <v>65</v>
      </c>
      <c r="L90" s="214"/>
      <c r="M90" s="51" t="s">
        <v>343</v>
      </c>
      <c r="N90" s="44" t="s">
        <v>65</v>
      </c>
      <c r="O90" s="47">
        <f t="shared" si="21"/>
        <v>1</v>
      </c>
      <c r="P90" s="79"/>
      <c r="Q90" s="41"/>
      <c r="R90" s="212" t="s">
        <v>344</v>
      </c>
      <c r="S90" s="213"/>
      <c r="T90" s="213"/>
      <c r="U90" s="213"/>
      <c r="V90" s="213"/>
    </row>
    <row r="91" ht="15.75" spans="1:22">
      <c r="A91" s="12">
        <v>96</v>
      </c>
      <c r="B91" s="30"/>
      <c r="C91" s="35"/>
      <c r="D91" s="35"/>
      <c r="E91" s="35" t="s">
        <v>229</v>
      </c>
      <c r="F91" s="29" t="s">
        <v>345</v>
      </c>
      <c r="G91" s="30"/>
      <c r="H91" s="36">
        <v>1.5</v>
      </c>
      <c r="I91" s="37"/>
      <c r="J91" s="36"/>
      <c r="K91" s="36"/>
      <c r="L91" s="216"/>
      <c r="M91" s="55"/>
      <c r="N91" s="36"/>
      <c r="O91" s="36">
        <f>AVERAGE(O92:O96)*H91</f>
        <v>1.5</v>
      </c>
      <c r="P91" s="83">
        <f>O91/H91</f>
        <v>1</v>
      </c>
      <c r="Q91" s="39"/>
      <c r="R91" s="217"/>
      <c r="S91" s="39"/>
      <c r="T91" s="39"/>
      <c r="U91" s="39"/>
      <c r="V91" s="39"/>
    </row>
    <row r="92" ht="199.5" customHeight="1" spans="1:22">
      <c r="A92" s="12">
        <v>97</v>
      </c>
      <c r="B92" s="29"/>
      <c r="C92" s="35"/>
      <c r="D92" s="35"/>
      <c r="E92" s="35"/>
      <c r="F92" s="40" t="s">
        <v>54</v>
      </c>
      <c r="G92" s="41" t="s">
        <v>346</v>
      </c>
      <c r="H92" s="42"/>
      <c r="I92" s="51" t="s">
        <v>347</v>
      </c>
      <c r="J92" s="59" t="s">
        <v>87</v>
      </c>
      <c r="K92" s="210" t="s">
        <v>65</v>
      </c>
      <c r="L92" s="214"/>
      <c r="M92" s="51" t="s">
        <v>348</v>
      </c>
      <c r="N92" s="44" t="s">
        <v>65</v>
      </c>
      <c r="O92" s="47">
        <f t="shared" ref="O92:O96" si="22">IF(J92="Ya/Tidak",IF(N92="Ya",1,IF(N92="Tidak",0,"Blm Diisi")),IF(J92="A/B/C",IF(N92="A",1,IF(N92="B",0.5,IF(N92="C",0,"Blm Diisi"))),IF(J92="A/B/C/D",IF(N92="A",1,IF(N92="B",0.67,IF(N92="C",0.33,IF(N92="D",0,"Blm Diisi")))),IF(J92="A/B/C/D/E",IF(N92="A",1,IF(N92="B",0.75,IF(N92="C",0.5,IF(N92="D",0.25,IF(N92="E",0,"Blm Diisi"))))),IF(J92="%",IF(N92="","Blm Diisi",N92),IF(J92="Jumlah",IF(N92="","Blm Diisi",""),IF(J92="Rupiah",IF(N92="","Blm Diisi",""),IF(J92="","","-"))))))))</f>
        <v>1</v>
      </c>
      <c r="P92" s="79"/>
      <c r="Q92" s="51"/>
      <c r="R92" s="212" t="s">
        <v>349</v>
      </c>
      <c r="S92" s="213"/>
      <c r="T92" s="213"/>
      <c r="U92" s="213"/>
      <c r="V92" s="213"/>
    </row>
    <row r="93" ht="220.5" spans="1:22">
      <c r="A93" s="12">
        <v>98</v>
      </c>
      <c r="B93" s="29"/>
      <c r="C93" s="35"/>
      <c r="D93" s="35"/>
      <c r="E93" s="35"/>
      <c r="F93" s="40" t="s">
        <v>61</v>
      </c>
      <c r="G93" s="41" t="s">
        <v>350</v>
      </c>
      <c r="H93" s="42"/>
      <c r="I93" s="51" t="s">
        <v>351</v>
      </c>
      <c r="J93" s="59" t="s">
        <v>87</v>
      </c>
      <c r="K93" s="210" t="s">
        <v>65</v>
      </c>
      <c r="L93" s="214"/>
      <c r="M93" s="51" t="s">
        <v>352</v>
      </c>
      <c r="N93" s="44" t="s">
        <v>65</v>
      </c>
      <c r="O93" s="47">
        <f t="shared" si="22"/>
        <v>1</v>
      </c>
      <c r="P93" s="48"/>
      <c r="Q93" s="234"/>
      <c r="R93" s="235" t="s">
        <v>353</v>
      </c>
      <c r="S93" s="213"/>
      <c r="T93" s="213"/>
      <c r="U93" s="213"/>
      <c r="V93" s="213"/>
    </row>
    <row r="94" ht="183.75" customHeight="1" spans="1:22">
      <c r="A94" s="12">
        <v>99</v>
      </c>
      <c r="B94" s="29"/>
      <c r="C94" s="35"/>
      <c r="D94" s="35"/>
      <c r="E94" s="35"/>
      <c r="F94" s="40" t="s">
        <v>78</v>
      </c>
      <c r="G94" s="41" t="s">
        <v>354</v>
      </c>
      <c r="H94" s="42"/>
      <c r="I94" s="51" t="s">
        <v>355</v>
      </c>
      <c r="J94" s="59" t="s">
        <v>87</v>
      </c>
      <c r="K94" s="210" t="s">
        <v>65</v>
      </c>
      <c r="L94" s="214"/>
      <c r="M94" s="51" t="s">
        <v>356</v>
      </c>
      <c r="N94" s="44" t="s">
        <v>65</v>
      </c>
      <c r="O94" s="47">
        <f t="shared" si="22"/>
        <v>1</v>
      </c>
      <c r="P94" s="79"/>
      <c r="Q94" s="41"/>
      <c r="R94" s="212" t="s">
        <v>357</v>
      </c>
      <c r="S94" s="213"/>
      <c r="T94" s="213"/>
      <c r="U94" s="213"/>
      <c r="V94" s="213"/>
    </row>
    <row r="95" ht="115.5" customHeight="1" spans="1:22">
      <c r="A95" s="12">
        <v>100</v>
      </c>
      <c r="B95" s="29"/>
      <c r="C95" s="35"/>
      <c r="D95" s="35"/>
      <c r="E95" s="35"/>
      <c r="F95" s="40" t="s">
        <v>112</v>
      </c>
      <c r="G95" s="41" t="s">
        <v>358</v>
      </c>
      <c r="H95" s="42"/>
      <c r="I95" s="51" t="s">
        <v>359</v>
      </c>
      <c r="J95" s="59" t="s">
        <v>64</v>
      </c>
      <c r="K95" s="210" t="s">
        <v>65</v>
      </c>
      <c r="L95" s="214"/>
      <c r="M95" s="51" t="s">
        <v>360</v>
      </c>
      <c r="N95" s="44" t="s">
        <v>65</v>
      </c>
      <c r="O95" s="47">
        <f t="shared" si="22"/>
        <v>1</v>
      </c>
      <c r="P95" s="79"/>
      <c r="Q95" s="41"/>
      <c r="R95" s="212" t="s">
        <v>361</v>
      </c>
      <c r="S95" s="213"/>
      <c r="T95" s="213"/>
      <c r="U95" s="213"/>
      <c r="V95" s="213"/>
    </row>
    <row r="96" ht="161.25" customHeight="1" spans="1:22">
      <c r="A96" s="12">
        <v>101</v>
      </c>
      <c r="B96" s="29"/>
      <c r="C96" s="35"/>
      <c r="D96" s="35"/>
      <c r="E96" s="35"/>
      <c r="F96" s="40" t="s">
        <v>201</v>
      </c>
      <c r="G96" s="41" t="s">
        <v>362</v>
      </c>
      <c r="H96" s="42"/>
      <c r="I96" s="51" t="s">
        <v>363</v>
      </c>
      <c r="J96" s="59" t="s">
        <v>64</v>
      </c>
      <c r="K96" s="210" t="s">
        <v>65</v>
      </c>
      <c r="L96" s="214"/>
      <c r="M96" s="51" t="s">
        <v>364</v>
      </c>
      <c r="N96" s="44" t="s">
        <v>65</v>
      </c>
      <c r="O96" s="47">
        <f t="shared" si="22"/>
        <v>1</v>
      </c>
      <c r="P96" s="79"/>
      <c r="Q96" s="41"/>
      <c r="R96" s="212" t="s">
        <v>365</v>
      </c>
      <c r="S96" s="213"/>
      <c r="T96" s="213"/>
      <c r="U96" s="213"/>
      <c r="V96" s="213"/>
    </row>
    <row r="97" ht="15.75" spans="1:22">
      <c r="A97" s="12">
        <v>102</v>
      </c>
      <c r="B97" s="26"/>
      <c r="C97" s="61"/>
      <c r="D97" s="28" t="s">
        <v>21</v>
      </c>
      <c r="E97" s="29" t="s">
        <v>22</v>
      </c>
      <c r="F97" s="29"/>
      <c r="G97" s="30"/>
      <c r="H97" s="31">
        <v>5</v>
      </c>
      <c r="I97" s="32"/>
      <c r="J97" s="31"/>
      <c r="K97" s="31"/>
      <c r="L97" s="216"/>
      <c r="M97" s="55"/>
      <c r="N97" s="31"/>
      <c r="O97" s="31">
        <f>SUM(O98,O103,O114,O118,O110)</f>
        <v>5</v>
      </c>
      <c r="P97" s="88">
        <f t="shared" ref="P97:P98" si="23">O97/H97</f>
        <v>1</v>
      </c>
      <c r="Q97" s="34"/>
      <c r="R97" s="217"/>
      <c r="S97" s="34"/>
      <c r="T97" s="34"/>
      <c r="U97" s="34"/>
      <c r="V97" s="34"/>
    </row>
    <row r="98" ht="15.75" spans="1:22">
      <c r="A98" s="12">
        <v>103</v>
      </c>
      <c r="B98" s="30"/>
      <c r="C98" s="35"/>
      <c r="D98" s="35"/>
      <c r="E98" s="35" t="s">
        <v>52</v>
      </c>
      <c r="F98" s="29" t="s">
        <v>366</v>
      </c>
      <c r="G98" s="30"/>
      <c r="H98" s="36">
        <v>1</v>
      </c>
      <c r="I98" s="37"/>
      <c r="J98" s="36"/>
      <c r="K98" s="36"/>
      <c r="L98" s="216"/>
      <c r="M98" s="55"/>
      <c r="N98" s="36"/>
      <c r="O98" s="36">
        <f>AVERAGE(O99:O102)*H98</f>
        <v>1</v>
      </c>
      <c r="P98" s="83">
        <f t="shared" si="23"/>
        <v>1</v>
      </c>
      <c r="Q98" s="39"/>
      <c r="R98" s="217"/>
      <c r="S98" s="39"/>
      <c r="T98" s="39"/>
      <c r="U98" s="39"/>
      <c r="V98" s="39"/>
    </row>
    <row r="99" ht="293.25" customHeight="1" spans="1:22">
      <c r="A99" s="12">
        <v>104</v>
      </c>
      <c r="B99" s="29"/>
      <c r="C99" s="35"/>
      <c r="D99" s="35"/>
      <c r="E99" s="35"/>
      <c r="F99" s="40" t="s">
        <v>54</v>
      </c>
      <c r="G99" s="41" t="s">
        <v>367</v>
      </c>
      <c r="H99" s="42"/>
      <c r="I99" s="51" t="s">
        <v>368</v>
      </c>
      <c r="J99" s="59" t="s">
        <v>124</v>
      </c>
      <c r="K99" s="210" t="s">
        <v>65</v>
      </c>
      <c r="L99" s="214"/>
      <c r="M99" s="51" t="s">
        <v>369</v>
      </c>
      <c r="N99" s="44" t="s">
        <v>65</v>
      </c>
      <c r="O99" s="47">
        <f t="shared" ref="O99:O102" si="24">IF(J99="Ya/Tidak",IF(N99="Ya",1,IF(N99="Tidak",0,"Blm Diisi")),IF(J99="A/B/C",IF(N99="A",1,IF(N99="B",0.5,IF(N99="C",0,"Blm Diisi"))),IF(J99="A/B/C/D",IF(N99="A",1,IF(N99="B",0.67,IF(N99="C",0.33,IF(N99="D",0,"Blm Diisi")))),IF(J99="A/B/C/D/E",IF(N99="A",1,IF(N99="B",0.75,IF(N99="C",0.5,IF(N99="D",0.25,IF(N99="E",0,"Blm Diisi"))))),IF(J99="%",IF(N99="","Blm Diisi",N99),IF(J99="Jumlah",IF(N99="","Blm Diisi",""),IF(J99="Rupiah",IF(N99="","Blm Diisi",""),IF(J99="","","-"))))))))</f>
        <v>1</v>
      </c>
      <c r="P99" s="79"/>
      <c r="Q99" s="41"/>
      <c r="R99" s="212" t="s">
        <v>370</v>
      </c>
      <c r="S99" s="213"/>
      <c r="T99" s="213"/>
      <c r="U99" s="213"/>
      <c r="V99" s="213"/>
    </row>
    <row r="100" ht="204.75" spans="1:22">
      <c r="A100" s="12">
        <v>105</v>
      </c>
      <c r="B100" s="29"/>
      <c r="C100" s="35"/>
      <c r="D100" s="35"/>
      <c r="E100" s="35"/>
      <c r="F100" s="40" t="s">
        <v>61</v>
      </c>
      <c r="G100" s="41" t="s">
        <v>371</v>
      </c>
      <c r="H100" s="42"/>
      <c r="I100" s="51" t="s">
        <v>372</v>
      </c>
      <c r="J100" s="59" t="s">
        <v>87</v>
      </c>
      <c r="K100" s="210" t="s">
        <v>65</v>
      </c>
      <c r="L100" s="214"/>
      <c r="M100" s="51" t="s">
        <v>373</v>
      </c>
      <c r="N100" s="44" t="s">
        <v>65</v>
      </c>
      <c r="O100" s="47">
        <f t="shared" si="24"/>
        <v>1</v>
      </c>
      <c r="P100" s="48"/>
      <c r="Q100" s="151"/>
      <c r="R100" s="215" t="s">
        <v>374</v>
      </c>
      <c r="S100" s="213"/>
      <c r="T100" s="213"/>
      <c r="U100" s="213"/>
      <c r="V100" s="213"/>
    </row>
    <row r="101" ht="321" customHeight="1" spans="1:22">
      <c r="A101" s="12">
        <v>106</v>
      </c>
      <c r="B101" s="29"/>
      <c r="C101" s="35"/>
      <c r="D101" s="35"/>
      <c r="E101" s="35"/>
      <c r="F101" s="40" t="s">
        <v>78</v>
      </c>
      <c r="G101" s="41" t="s">
        <v>375</v>
      </c>
      <c r="H101" s="42"/>
      <c r="I101" s="51" t="s">
        <v>376</v>
      </c>
      <c r="J101" s="59" t="s">
        <v>87</v>
      </c>
      <c r="K101" s="210" t="s">
        <v>65</v>
      </c>
      <c r="L101" s="214"/>
      <c r="M101" s="51" t="s">
        <v>377</v>
      </c>
      <c r="N101" s="44" t="s">
        <v>65</v>
      </c>
      <c r="O101" s="47">
        <f t="shared" si="24"/>
        <v>1</v>
      </c>
      <c r="P101" s="48"/>
      <c r="Q101" s="236"/>
      <c r="R101" s="237" t="s">
        <v>378</v>
      </c>
      <c r="S101" s="213"/>
      <c r="T101" s="213"/>
      <c r="U101" s="213"/>
      <c r="V101" s="213"/>
    </row>
    <row r="102" ht="54" customHeight="1" spans="1:22">
      <c r="B102" s="29"/>
      <c r="C102" s="35"/>
      <c r="D102" s="35"/>
      <c r="E102" s="35"/>
      <c r="F102" s="40" t="s">
        <v>112</v>
      </c>
      <c r="G102" s="41" t="s">
        <v>379</v>
      </c>
      <c r="H102" s="42"/>
      <c r="I102" s="51" t="s">
        <v>380</v>
      </c>
      <c r="J102" s="59" t="s">
        <v>57</v>
      </c>
      <c r="K102" s="210" t="s">
        <v>58</v>
      </c>
      <c r="L102" s="214"/>
      <c r="M102" s="51" t="s">
        <v>381</v>
      </c>
      <c r="N102" s="44" t="s">
        <v>58</v>
      </c>
      <c r="O102" s="47">
        <f t="shared" si="24"/>
        <v>1</v>
      </c>
      <c r="P102" s="48"/>
      <c r="Q102" s="98"/>
      <c r="R102" s="237" t="s">
        <v>382</v>
      </c>
      <c r="S102" s="213"/>
      <c r="T102" s="213"/>
      <c r="U102" s="213"/>
      <c r="V102" s="213"/>
    </row>
    <row r="103" ht="15.75" spans="1:22">
      <c r="A103" s="12">
        <v>108</v>
      </c>
      <c r="B103" s="30"/>
      <c r="C103" s="35"/>
      <c r="D103" s="35"/>
      <c r="E103" s="35" t="s">
        <v>68</v>
      </c>
      <c r="F103" s="29" t="s">
        <v>383</v>
      </c>
      <c r="G103" s="30"/>
      <c r="H103" s="36">
        <v>1</v>
      </c>
      <c r="I103" s="37"/>
      <c r="J103" s="36"/>
      <c r="K103" s="36"/>
      <c r="L103" s="216"/>
      <c r="M103" s="55"/>
      <c r="N103" s="36"/>
      <c r="O103" s="36">
        <f>AVERAGE(O104:O109)*H103</f>
        <v>1</v>
      </c>
      <c r="P103" s="38">
        <f>O103/H103</f>
        <v>1</v>
      </c>
      <c r="Q103" s="78"/>
      <c r="R103" s="227"/>
      <c r="S103" s="39"/>
      <c r="T103" s="39"/>
      <c r="U103" s="39"/>
      <c r="V103" s="39"/>
    </row>
    <row r="104" ht="409.5" spans="1:22">
      <c r="A104" s="12">
        <v>109</v>
      </c>
      <c r="B104" s="29"/>
      <c r="C104" s="35"/>
      <c r="D104" s="35"/>
      <c r="E104" s="35"/>
      <c r="F104" s="40" t="s">
        <v>54</v>
      </c>
      <c r="G104" s="41" t="s">
        <v>384</v>
      </c>
      <c r="H104" s="42"/>
      <c r="I104" s="51" t="s">
        <v>385</v>
      </c>
      <c r="J104" s="59" t="s">
        <v>124</v>
      </c>
      <c r="K104" s="210" t="s">
        <v>65</v>
      </c>
      <c r="L104" s="214"/>
      <c r="M104" s="51" t="s">
        <v>386</v>
      </c>
      <c r="N104" s="44" t="s">
        <v>65</v>
      </c>
      <c r="O104" s="47">
        <f t="shared" ref="O104:O109" si="25">IF(J104="Ya/Tidak",IF(N104="Ya",1,IF(N104="Tidak",0,"Blm Diisi")),IF(J104="A/B/C",IF(N104="A",1,IF(N104="B",0.5,IF(N104="C",0,"Blm Diisi"))),IF(J104="A/B/C/D",IF(N104="A",1,IF(N104="B",0.67,IF(N104="C",0.33,IF(N104="D",0,"Blm Diisi")))),IF(J104="A/B/C/D/E",IF(N104="A",1,IF(N104="B",0.75,IF(N104="C",0.5,IF(N104="D",0.25,IF(N104="E",0,"Blm Diisi"))))),IF(J104="%",IF(N104="","Blm Diisi",N104),IF(J104="Jumlah",IF(N104="","Blm Diisi",""),IF(J104="Rupiah",IF(N104="","Blm Diisi",""),IF(J104="","","-"))))))))</f>
        <v>1</v>
      </c>
      <c r="P104" s="79"/>
      <c r="Q104" s="41"/>
      <c r="R104" s="212" t="s">
        <v>387</v>
      </c>
      <c r="S104" s="213"/>
      <c r="T104" s="213"/>
      <c r="U104" s="213"/>
      <c r="V104" s="213"/>
    </row>
    <row r="105" ht="236.25" spans="1:22">
      <c r="A105" s="12">
        <v>110</v>
      </c>
      <c r="B105" s="29"/>
      <c r="C105" s="35"/>
      <c r="D105" s="35"/>
      <c r="E105" s="35"/>
      <c r="F105" s="40" t="s">
        <v>61</v>
      </c>
      <c r="G105" s="41" t="s">
        <v>388</v>
      </c>
      <c r="H105" s="42"/>
      <c r="I105" s="51" t="s">
        <v>389</v>
      </c>
      <c r="J105" s="59" t="s">
        <v>87</v>
      </c>
      <c r="K105" s="210" t="s">
        <v>65</v>
      </c>
      <c r="L105" s="214"/>
      <c r="M105" s="51" t="s">
        <v>390</v>
      </c>
      <c r="N105" s="44" t="s">
        <v>65</v>
      </c>
      <c r="O105" s="47">
        <f t="shared" si="25"/>
        <v>1</v>
      </c>
      <c r="P105" s="79"/>
      <c r="Q105" s="86"/>
      <c r="R105" s="212" t="s">
        <v>391</v>
      </c>
      <c r="S105" s="213"/>
      <c r="T105" s="213"/>
      <c r="U105" s="213"/>
      <c r="V105" s="213"/>
    </row>
    <row r="106" ht="291" customHeight="1" spans="1:22">
      <c r="A106" s="12">
        <v>111</v>
      </c>
      <c r="B106" s="29"/>
      <c r="C106" s="35"/>
      <c r="D106" s="35"/>
      <c r="E106" s="35"/>
      <c r="F106" s="40" t="s">
        <v>78</v>
      </c>
      <c r="G106" s="41" t="s">
        <v>392</v>
      </c>
      <c r="H106" s="42"/>
      <c r="I106" s="51" t="s">
        <v>393</v>
      </c>
      <c r="J106" s="59" t="s">
        <v>87</v>
      </c>
      <c r="K106" s="210" t="s">
        <v>65</v>
      </c>
      <c r="L106" s="214"/>
      <c r="M106" s="51" t="s">
        <v>394</v>
      </c>
      <c r="N106" s="44" t="s">
        <v>65</v>
      </c>
      <c r="O106" s="47">
        <f t="shared" si="25"/>
        <v>1</v>
      </c>
      <c r="P106" s="79"/>
      <c r="Q106" s="86"/>
      <c r="R106" s="212" t="s">
        <v>395</v>
      </c>
      <c r="S106" s="213"/>
      <c r="T106" s="213"/>
      <c r="U106" s="213"/>
      <c r="V106" s="213"/>
    </row>
    <row r="107" ht="252" spans="1:22">
      <c r="B107" s="29"/>
      <c r="C107" s="35"/>
      <c r="D107" s="35"/>
      <c r="E107" s="35"/>
      <c r="F107" s="40" t="s">
        <v>112</v>
      </c>
      <c r="G107" s="41" t="s">
        <v>396</v>
      </c>
      <c r="H107" s="42"/>
      <c r="I107" s="51" t="s">
        <v>397</v>
      </c>
      <c r="J107" s="59" t="s">
        <v>87</v>
      </c>
      <c r="K107" s="210" t="s">
        <v>65</v>
      </c>
      <c r="L107" s="214"/>
      <c r="M107" s="51" t="s">
        <v>398</v>
      </c>
      <c r="N107" s="44" t="s">
        <v>65</v>
      </c>
      <c r="O107" s="47">
        <f t="shared" si="25"/>
        <v>1</v>
      </c>
      <c r="P107" s="79"/>
      <c r="Q107" s="86"/>
      <c r="R107" s="212" t="s">
        <v>399</v>
      </c>
      <c r="S107" s="213"/>
      <c r="T107" s="213"/>
      <c r="U107" s="213"/>
      <c r="V107" s="213"/>
    </row>
    <row r="108" ht="150.75" customHeight="1" spans="1:22">
      <c r="A108" s="12">
        <v>112</v>
      </c>
      <c r="B108" s="29"/>
      <c r="C108" s="35"/>
      <c r="D108" s="35"/>
      <c r="E108" s="35"/>
      <c r="F108" s="40" t="s">
        <v>201</v>
      </c>
      <c r="G108" s="41" t="s">
        <v>400</v>
      </c>
      <c r="H108" s="42"/>
      <c r="I108" s="51" t="s">
        <v>401</v>
      </c>
      <c r="J108" s="59" t="s">
        <v>87</v>
      </c>
      <c r="K108" s="210" t="s">
        <v>65</v>
      </c>
      <c r="L108" s="213"/>
      <c r="M108" s="51" t="s">
        <v>402</v>
      </c>
      <c r="N108" s="44" t="s">
        <v>65</v>
      </c>
      <c r="O108" s="47">
        <f t="shared" si="25"/>
        <v>1</v>
      </c>
      <c r="P108" s="79"/>
      <c r="Q108" s="86"/>
      <c r="R108" s="212" t="s">
        <v>403</v>
      </c>
      <c r="S108" s="213"/>
      <c r="T108" s="213"/>
      <c r="U108" s="213"/>
      <c r="V108" s="213"/>
    </row>
    <row r="109" ht="363" customHeight="1" spans="1:22">
      <c r="A109" s="12">
        <v>113</v>
      </c>
      <c r="B109" s="29"/>
      <c r="C109" s="35"/>
      <c r="D109" s="35"/>
      <c r="E109" s="35"/>
      <c r="F109" s="40" t="s">
        <v>206</v>
      </c>
      <c r="G109" s="41" t="s">
        <v>404</v>
      </c>
      <c r="H109" s="42"/>
      <c r="I109" s="51" t="s">
        <v>405</v>
      </c>
      <c r="J109" s="59" t="s">
        <v>124</v>
      </c>
      <c r="K109" s="210" t="s">
        <v>65</v>
      </c>
      <c r="L109" s="214"/>
      <c r="M109" s="51" t="s">
        <v>406</v>
      </c>
      <c r="N109" s="44" t="s">
        <v>65</v>
      </c>
      <c r="O109" s="47">
        <f t="shared" si="25"/>
        <v>1</v>
      </c>
      <c r="P109" s="79"/>
      <c r="Q109" s="86"/>
      <c r="R109" s="212" t="s">
        <v>407</v>
      </c>
      <c r="S109" s="213"/>
      <c r="T109" s="213"/>
      <c r="U109" s="213"/>
      <c r="V109" s="213"/>
    </row>
    <row r="110" ht="15.75" spans="1:22">
      <c r="A110" s="12">
        <v>114</v>
      </c>
      <c r="B110" s="30"/>
      <c r="C110" s="35"/>
      <c r="D110" s="35"/>
      <c r="E110" s="35" t="s">
        <v>83</v>
      </c>
      <c r="F110" s="29" t="s">
        <v>408</v>
      </c>
      <c r="G110" s="30"/>
      <c r="H110" s="36">
        <v>1</v>
      </c>
      <c r="I110" s="37"/>
      <c r="J110" s="36"/>
      <c r="K110" s="36"/>
      <c r="L110" s="216"/>
      <c r="M110" s="55"/>
      <c r="N110" s="36"/>
      <c r="O110" s="36">
        <f>AVERAGE(O111:O113)*H110</f>
        <v>1</v>
      </c>
      <c r="P110" s="38">
        <f>O110/H110</f>
        <v>1</v>
      </c>
      <c r="Q110" s="91"/>
      <c r="R110" s="228"/>
      <c r="S110" s="39"/>
      <c r="T110" s="39"/>
      <c r="U110" s="39"/>
      <c r="V110" s="39"/>
    </row>
    <row r="111" ht="236.25" spans="1:22">
      <c r="A111" s="12">
        <v>115</v>
      </c>
      <c r="B111" s="29"/>
      <c r="C111" s="35"/>
      <c r="D111" s="35"/>
      <c r="E111" s="35"/>
      <c r="F111" s="40" t="s">
        <v>54</v>
      </c>
      <c r="G111" s="41" t="s">
        <v>409</v>
      </c>
      <c r="H111" s="42"/>
      <c r="I111" s="51" t="s">
        <v>410</v>
      </c>
      <c r="J111" s="59" t="s">
        <v>124</v>
      </c>
      <c r="K111" s="210" t="s">
        <v>65</v>
      </c>
      <c r="L111" s="214"/>
      <c r="M111" s="51" t="s">
        <v>411</v>
      </c>
      <c r="N111" s="44" t="s">
        <v>65</v>
      </c>
      <c r="O111" s="47">
        <f t="shared" ref="O111:O113" si="26">IF(J111="Ya/Tidak",IF(N111="Ya",1,IF(N111="Tidak",0,"Blm Diisi")),IF(J111="A/B/C",IF(N111="A",1,IF(N111="B",0.5,IF(N111="C",0,"Blm Diisi"))),IF(J111="A/B/C/D",IF(N111="A",1,IF(N111="B",0.67,IF(N111="C",0.33,IF(N111="D",0,"Blm Diisi")))),IF(J111="A/B/C/D/E",IF(N111="A",1,IF(N111="B",0.75,IF(N111="C",0.5,IF(N111="D",0.25,IF(N111="E",0,"Blm Diisi"))))),IF(J111="%",IF(N111="","Blm Diisi",N111),IF(J111="Jumlah",IF(N111="","Blm Diisi",""),IF(J111="Rupiah",IF(N111="","Blm Diisi",""),IF(J111="","","-"))))))))</f>
        <v>1</v>
      </c>
      <c r="P111" s="48"/>
      <c r="Q111" s="230"/>
      <c r="R111" s="231" t="s">
        <v>412</v>
      </c>
      <c r="S111" s="213"/>
      <c r="T111" s="213"/>
      <c r="U111" s="213"/>
      <c r="V111" s="213"/>
    </row>
    <row r="112" ht="227.25" customHeight="1" spans="1:22">
      <c r="A112" s="12">
        <v>116</v>
      </c>
      <c r="B112" s="92"/>
      <c r="C112" s="35"/>
      <c r="D112" s="35"/>
      <c r="E112" s="35"/>
      <c r="F112" s="40" t="s">
        <v>61</v>
      </c>
      <c r="G112" s="41" t="s">
        <v>413</v>
      </c>
      <c r="H112" s="42"/>
      <c r="I112" s="51" t="s">
        <v>414</v>
      </c>
      <c r="J112" s="59" t="s">
        <v>64</v>
      </c>
      <c r="K112" s="210" t="s">
        <v>65</v>
      </c>
      <c r="L112" s="213"/>
      <c r="M112" s="51" t="s">
        <v>415</v>
      </c>
      <c r="N112" s="44" t="s">
        <v>65</v>
      </c>
      <c r="O112" s="47">
        <f t="shared" si="26"/>
        <v>1</v>
      </c>
      <c r="P112" s="48"/>
      <c r="Q112" s="151"/>
      <c r="R112" s="215" t="s">
        <v>416</v>
      </c>
      <c r="S112" s="213"/>
      <c r="T112" s="213"/>
      <c r="U112" s="213"/>
      <c r="V112" s="213"/>
    </row>
    <row r="113" ht="113.25" customHeight="1" spans="1:22">
      <c r="A113" s="12">
        <v>117</v>
      </c>
      <c r="B113" s="29"/>
      <c r="C113" s="35"/>
      <c r="D113" s="35"/>
      <c r="E113" s="35"/>
      <c r="F113" s="40" t="s">
        <v>78</v>
      </c>
      <c r="G113" s="41" t="s">
        <v>417</v>
      </c>
      <c r="H113" s="42"/>
      <c r="I113" s="51" t="s">
        <v>418</v>
      </c>
      <c r="J113" s="59" t="s">
        <v>64</v>
      </c>
      <c r="K113" s="210" t="s">
        <v>65</v>
      </c>
      <c r="L113" s="213"/>
      <c r="M113" s="51" t="s">
        <v>419</v>
      </c>
      <c r="N113" s="44" t="s">
        <v>65</v>
      </c>
      <c r="O113" s="47">
        <f t="shared" si="26"/>
        <v>1</v>
      </c>
      <c r="P113" s="48"/>
      <c r="Q113" s="236"/>
      <c r="R113" s="237" t="s">
        <v>420</v>
      </c>
      <c r="S113" s="213"/>
      <c r="T113" s="213"/>
      <c r="U113" s="213"/>
      <c r="V113" s="213"/>
    </row>
    <row r="114" ht="15.75" spans="1:22">
      <c r="A114" s="12">
        <v>114</v>
      </c>
      <c r="B114" s="30"/>
      <c r="C114" s="35"/>
      <c r="D114" s="35"/>
      <c r="E114" s="35" t="s">
        <v>98</v>
      </c>
      <c r="F114" s="29" t="s">
        <v>421</v>
      </c>
      <c r="G114" s="30"/>
      <c r="H114" s="36">
        <v>1</v>
      </c>
      <c r="I114" s="37"/>
      <c r="J114" s="36"/>
      <c r="K114" s="36"/>
      <c r="L114" s="216"/>
      <c r="M114" s="55"/>
      <c r="N114" s="36"/>
      <c r="O114" s="36">
        <f>AVERAGE(O115:O117)*H114</f>
        <v>1</v>
      </c>
      <c r="P114" s="38">
        <f>O114/H114</f>
        <v>1</v>
      </c>
      <c r="Q114" s="78"/>
      <c r="R114" s="227"/>
      <c r="S114" s="39"/>
      <c r="T114" s="39"/>
      <c r="U114" s="39"/>
      <c r="V114" s="39"/>
    </row>
    <row r="115" ht="228" customHeight="1" spans="1:22">
      <c r="A115" s="12">
        <v>115</v>
      </c>
      <c r="B115" s="29"/>
      <c r="C115" s="35"/>
      <c r="D115" s="35"/>
      <c r="E115" s="35"/>
      <c r="F115" s="40" t="s">
        <v>54</v>
      </c>
      <c r="G115" s="41" t="s">
        <v>422</v>
      </c>
      <c r="H115" s="42"/>
      <c r="I115" s="51" t="s">
        <v>423</v>
      </c>
      <c r="J115" s="59" t="s">
        <v>124</v>
      </c>
      <c r="K115" s="210" t="s">
        <v>65</v>
      </c>
      <c r="L115" s="214"/>
      <c r="M115" s="51" t="s">
        <v>424</v>
      </c>
      <c r="N115" s="44" t="s">
        <v>65</v>
      </c>
      <c r="O115" s="47">
        <f t="shared" ref="O115:O117" si="27">IF(J115="Ya/Tidak",IF(N115="Ya",1,IF(N115="Tidak",0,"Blm Diisi")),IF(J115="A/B/C",IF(N115="A",1,IF(N115="B",0.5,IF(N115="C",0,"Blm Diisi"))),IF(J115="A/B/C/D",IF(N115="A",1,IF(N115="B",0.67,IF(N115="C",0.33,IF(N115="D",0,"Blm Diisi")))),IF(J115="A/B/C/D/E",IF(N115="A",1,IF(N115="B",0.75,IF(N115="C",0.5,IF(N115="D",0.25,IF(N115="E",0,"Blm Diisi"))))),IF(J115="%",IF(N115="","Blm Diisi",N115),IF(J115="Jumlah",IF(N115="","Blm Diisi",""),IF(J115="Rupiah",IF(N115="","Blm Diisi",""),IF(J115="","","-"))))))))</f>
        <v>1</v>
      </c>
      <c r="P115" s="79"/>
      <c r="Q115" s="41"/>
      <c r="R115" s="212" t="s">
        <v>425</v>
      </c>
      <c r="S115" s="213"/>
      <c r="T115" s="213"/>
      <c r="U115" s="213"/>
      <c r="V115" s="213"/>
    </row>
    <row r="116" ht="141.75" spans="1:22">
      <c r="A116" s="12">
        <v>116</v>
      </c>
      <c r="B116" s="29"/>
      <c r="C116" s="35"/>
      <c r="D116" s="35"/>
      <c r="E116" s="35"/>
      <c r="F116" s="40" t="s">
        <v>61</v>
      </c>
      <c r="G116" s="41" t="s">
        <v>426</v>
      </c>
      <c r="H116" s="42"/>
      <c r="I116" s="51" t="s">
        <v>427</v>
      </c>
      <c r="J116" s="59" t="s">
        <v>64</v>
      </c>
      <c r="K116" s="210" t="s">
        <v>65</v>
      </c>
      <c r="L116" s="214"/>
      <c r="M116" s="51" t="s">
        <v>428</v>
      </c>
      <c r="N116" s="44" t="s">
        <v>65</v>
      </c>
      <c r="O116" s="47">
        <f t="shared" si="27"/>
        <v>1</v>
      </c>
      <c r="P116" s="79"/>
      <c r="Q116" s="86"/>
      <c r="R116" s="212" t="s">
        <v>429</v>
      </c>
      <c r="S116" s="213"/>
      <c r="T116" s="213"/>
      <c r="U116" s="213"/>
      <c r="V116" s="213"/>
    </row>
    <row r="117" ht="141" customHeight="1" spans="1:22">
      <c r="A117" s="12">
        <v>117</v>
      </c>
      <c r="B117" s="29"/>
      <c r="C117" s="35"/>
      <c r="D117" s="35"/>
      <c r="E117" s="35"/>
      <c r="F117" s="40" t="s">
        <v>78</v>
      </c>
      <c r="G117" s="41" t="s">
        <v>430</v>
      </c>
      <c r="H117" s="42"/>
      <c r="I117" s="51" t="s">
        <v>431</v>
      </c>
      <c r="J117" s="59" t="s">
        <v>87</v>
      </c>
      <c r="K117" s="210" t="s">
        <v>65</v>
      </c>
      <c r="L117" s="214"/>
      <c r="M117" s="51" t="s">
        <v>432</v>
      </c>
      <c r="N117" s="44" t="s">
        <v>65</v>
      </c>
      <c r="O117" s="47">
        <f t="shared" si="27"/>
        <v>1</v>
      </c>
      <c r="P117" s="79"/>
      <c r="Q117" s="86"/>
      <c r="R117" s="212" t="s">
        <v>433</v>
      </c>
      <c r="S117" s="213"/>
      <c r="T117" s="213"/>
      <c r="U117" s="213"/>
      <c r="V117" s="213"/>
    </row>
    <row r="118" ht="15.75" spans="1:22">
      <c r="B118" s="29"/>
      <c r="C118" s="35"/>
      <c r="D118" s="35"/>
      <c r="E118" s="35" t="s">
        <v>229</v>
      </c>
      <c r="F118" s="29" t="s">
        <v>434</v>
      </c>
      <c r="G118" s="30"/>
      <c r="H118" s="36">
        <v>1</v>
      </c>
      <c r="I118" s="37"/>
      <c r="J118" s="36"/>
      <c r="K118" s="44"/>
      <c r="L118" s="216"/>
      <c r="M118" s="93"/>
      <c r="N118" s="44"/>
      <c r="O118" s="36">
        <f>AVERAGE(O119:O121)*H118</f>
        <v>1</v>
      </c>
      <c r="P118" s="48">
        <f>O118/H118</f>
        <v>1</v>
      </c>
      <c r="Q118" s="94"/>
      <c r="R118" s="238"/>
      <c r="S118" s="51"/>
      <c r="T118" s="51"/>
      <c r="U118" s="51"/>
      <c r="V118" s="51"/>
    </row>
    <row r="119" ht="199.5" customHeight="1" spans="1:22">
      <c r="B119" s="29"/>
      <c r="C119" s="35"/>
      <c r="D119" s="35"/>
      <c r="E119" s="35"/>
      <c r="F119" s="40" t="s">
        <v>54</v>
      </c>
      <c r="G119" s="41" t="s">
        <v>435</v>
      </c>
      <c r="H119" s="42"/>
      <c r="I119" s="51" t="s">
        <v>436</v>
      </c>
      <c r="J119" s="59" t="s">
        <v>87</v>
      </c>
      <c r="K119" s="210" t="s">
        <v>65</v>
      </c>
      <c r="L119" s="213"/>
      <c r="M119" s="51" t="s">
        <v>437</v>
      </c>
      <c r="N119" s="44" t="s">
        <v>65</v>
      </c>
      <c r="O119" s="47">
        <f t="shared" ref="O119:O121" si="28">IF(J119="Ya/Tidak",IF(N119="Ya",1,IF(N119="Tidak",0,"Blm Diisi")),IF(J119="A/B/C",IF(N119="A",1,IF(N119="B",0.5,IF(N119="C",0,"Blm Diisi"))),IF(J119="A/B/C/D",IF(N119="A",1,IF(N119="B",0.67,IF(N119="C",0.33,IF(N119="D",0,"Blm Diisi")))),IF(J119="A/B/C/D/E",IF(N119="A",1,IF(N119="B",0.75,IF(N119="C",0.5,IF(N119="D",0.25,IF(N119="E",0,"Blm Diisi"))))),IF(J119="%",IF(N119="","Blm Diisi",N119),IF(J119="Jumlah",IF(N119="","Blm Diisi",""),IF(J119="Rupiah",IF(N119="","Blm Diisi",""),IF(J119="","","-"))))))))</f>
        <v>1</v>
      </c>
      <c r="P119" s="48"/>
      <c r="Q119" s="230"/>
      <c r="R119" s="231" t="s">
        <v>438</v>
      </c>
      <c r="S119" s="213"/>
      <c r="T119" s="213"/>
      <c r="U119" s="213"/>
      <c r="V119" s="213"/>
    </row>
    <row r="120" ht="70.5" customHeight="1" spans="1:22">
      <c r="B120" s="29"/>
      <c r="C120" s="35"/>
      <c r="D120" s="35"/>
      <c r="E120" s="35"/>
      <c r="F120" s="40" t="s">
        <v>439</v>
      </c>
      <c r="G120" s="41" t="s">
        <v>440</v>
      </c>
      <c r="H120" s="42"/>
      <c r="I120" s="51" t="s">
        <v>441</v>
      </c>
      <c r="J120" s="59" t="s">
        <v>57</v>
      </c>
      <c r="K120" s="210" t="s">
        <v>58</v>
      </c>
      <c r="L120" s="213"/>
      <c r="M120" s="51" t="s">
        <v>442</v>
      </c>
      <c r="N120" s="44" t="s">
        <v>58</v>
      </c>
      <c r="O120" s="47">
        <f t="shared" si="28"/>
        <v>1</v>
      </c>
      <c r="P120" s="79"/>
      <c r="Q120" s="41"/>
      <c r="R120" s="212" t="s">
        <v>443</v>
      </c>
      <c r="S120" s="213"/>
      <c r="T120" s="213"/>
      <c r="U120" s="213"/>
      <c r="V120" s="213"/>
    </row>
    <row r="121" ht="94.5" spans="1:22">
      <c r="B121" s="29"/>
      <c r="C121" s="35"/>
      <c r="D121" s="35"/>
      <c r="E121" s="35"/>
      <c r="F121" s="40" t="s">
        <v>78</v>
      </c>
      <c r="G121" s="41" t="s">
        <v>444</v>
      </c>
      <c r="H121" s="42"/>
      <c r="I121" s="51" t="s">
        <v>445</v>
      </c>
      <c r="J121" s="59" t="s">
        <v>64</v>
      </c>
      <c r="K121" s="210" t="s">
        <v>65</v>
      </c>
      <c r="L121" s="213"/>
      <c r="M121" s="51" t="s">
        <v>446</v>
      </c>
      <c r="N121" s="44" t="s">
        <v>65</v>
      </c>
      <c r="O121" s="47">
        <f t="shared" si="28"/>
        <v>1</v>
      </c>
      <c r="P121" s="79"/>
      <c r="Q121" s="41"/>
      <c r="R121" s="212" t="s">
        <v>447</v>
      </c>
      <c r="S121" s="213"/>
      <c r="T121" s="213"/>
      <c r="U121" s="213"/>
      <c r="V121" s="213"/>
    </row>
    <row r="122" ht="18" spans="1:22">
      <c r="A122" s="12">
        <v>118</v>
      </c>
      <c r="B122" s="20"/>
      <c r="C122" s="21" t="s">
        <v>32</v>
      </c>
      <c r="D122" s="14" t="s">
        <v>448</v>
      </c>
      <c r="E122" s="14"/>
      <c r="F122" s="14"/>
      <c r="G122" s="15"/>
      <c r="H122" s="22">
        <v>30</v>
      </c>
      <c r="I122" s="23"/>
      <c r="J122" s="22"/>
      <c r="K122" s="22"/>
      <c r="L122" s="216"/>
      <c r="M122" s="55"/>
      <c r="N122" s="22"/>
      <c r="O122" s="22">
        <f>SUM(O123,O135,O145,O155,O164,O187)</f>
        <v>30</v>
      </c>
      <c r="P122" s="24">
        <f t="shared" ref="P122:P124" si="29">O122/H122</f>
        <v>1</v>
      </c>
      <c r="Q122" s="95"/>
      <c r="R122" s="239"/>
      <c r="S122" s="25"/>
      <c r="T122" s="25"/>
      <c r="U122" s="25"/>
      <c r="V122" s="25"/>
    </row>
    <row r="123" ht="15.75" spans="1:22">
      <c r="A123" s="12">
        <v>5</v>
      </c>
      <c r="B123" s="26"/>
      <c r="C123" s="27"/>
      <c r="D123" s="28" t="s">
        <v>11</v>
      </c>
      <c r="E123" s="29" t="s">
        <v>12</v>
      </c>
      <c r="F123" s="29"/>
      <c r="G123" s="30"/>
      <c r="H123" s="31">
        <v>4</v>
      </c>
      <c r="I123" s="32"/>
      <c r="J123" s="31"/>
      <c r="K123" s="31"/>
      <c r="L123" s="216"/>
      <c r="M123" s="55"/>
      <c r="N123" s="31"/>
      <c r="O123" s="31">
        <f>SUM(O124,O131,O133)</f>
        <v>4</v>
      </c>
      <c r="P123" s="33">
        <f t="shared" si="29"/>
        <v>1</v>
      </c>
      <c r="Q123" s="96"/>
      <c r="R123" s="240"/>
      <c r="S123" s="34"/>
      <c r="T123" s="34"/>
      <c r="U123" s="34"/>
      <c r="V123" s="34"/>
    </row>
    <row r="124" ht="15.75" spans="1:22">
      <c r="A124" s="12">
        <v>120</v>
      </c>
      <c r="B124" s="30"/>
      <c r="C124" s="35"/>
      <c r="D124" s="35"/>
      <c r="E124" s="35" t="s">
        <v>52</v>
      </c>
      <c r="F124" s="29" t="s">
        <v>449</v>
      </c>
      <c r="G124" s="30"/>
      <c r="H124" s="36">
        <v>2</v>
      </c>
      <c r="I124" s="37"/>
      <c r="J124" s="36"/>
      <c r="K124" s="36"/>
      <c r="L124" s="216"/>
      <c r="M124" s="55"/>
      <c r="N124" s="36"/>
      <c r="O124" s="36">
        <f>AVERAGE(O125:O130)*H124</f>
        <v>2</v>
      </c>
      <c r="P124" s="38">
        <f t="shared" si="29"/>
        <v>1</v>
      </c>
      <c r="Q124" s="81"/>
      <c r="R124" s="241"/>
      <c r="S124" s="39"/>
      <c r="T124" s="39"/>
      <c r="U124" s="39"/>
      <c r="V124" s="39"/>
    </row>
    <row r="125" ht="272.25" customHeight="1" spans="1:22">
      <c r="A125" s="12">
        <v>121</v>
      </c>
      <c r="B125" s="29"/>
      <c r="C125" s="35"/>
      <c r="D125" s="35"/>
      <c r="E125" s="35"/>
      <c r="F125" s="40" t="s">
        <v>54</v>
      </c>
      <c r="G125" s="41" t="s">
        <v>450</v>
      </c>
      <c r="H125" s="42"/>
      <c r="I125" s="41" t="s">
        <v>451</v>
      </c>
      <c r="J125" s="59" t="s">
        <v>452</v>
      </c>
      <c r="K125" s="97">
        <f>K127/K126</f>
        <v>1</v>
      </c>
      <c r="L125" s="51"/>
      <c r="M125" s="41" t="s">
        <v>453</v>
      </c>
      <c r="N125" s="97">
        <f>N127/N126</f>
        <v>1</v>
      </c>
      <c r="O125" s="47">
        <f t="shared" ref="O125:O130" si="30">IF(J125="Ya/Tidak",IF(N125="Ya",1,IF(N125="Tidak",0,"Blm Diisi")),IF(J125="A/B/C",IF(N125="A",1,IF(N125="B",0.5,IF(N125="C",0,"Blm Diisi"))),IF(J125="A/B/C/D",IF(N125="A",1,IF(N125="B",0.67,IF(N125="C",0.33,IF(N125="D",0,"Blm Diisi")))),IF(J125="A/B/C/D/E",IF(N125="A",1,IF(N125="B",0.75,IF(N125="C",0.5,IF(N125="D",0.25,IF(N125="E",0,"Blm Diisi"))))),IF(J125="%",IF(N125="","Blm Diisi",N125),IF(J125="Jumlah",IF(N125="","Blm Diisi",""),IF(J125="Rupiah",IF(N125="","Blm Diisi",""),IF(J125="","","-"))))))))</f>
        <v>1</v>
      </c>
      <c r="P125" s="48"/>
      <c r="Q125" s="98"/>
      <c r="R125" s="242" t="s">
        <v>454</v>
      </c>
      <c r="S125" s="51"/>
      <c r="T125" s="51"/>
      <c r="U125" s="51"/>
      <c r="V125" s="51"/>
    </row>
    <row r="126" ht="15.75" spans="1:22">
      <c r="A126" s="12">
        <v>122</v>
      </c>
      <c r="B126" s="29"/>
      <c r="C126" s="35"/>
      <c r="D126" s="35"/>
      <c r="E126" s="35"/>
      <c r="F126" s="40"/>
      <c r="G126" s="322" t="s">
        <v>455</v>
      </c>
      <c r="H126" s="42"/>
      <c r="I126" s="41"/>
      <c r="J126" s="59" t="s">
        <v>456</v>
      </c>
      <c r="K126" s="243">
        <v>1</v>
      </c>
      <c r="L126" s="233"/>
      <c r="M126" s="93"/>
      <c r="N126" s="59">
        <v>1</v>
      </c>
      <c r="O126" s="47" t="str">
        <f t="shared" si="30"/>
        <v/>
      </c>
      <c r="P126" s="48"/>
      <c r="Q126" s="98"/>
      <c r="R126" s="244"/>
      <c r="S126" s="213"/>
      <c r="T126" s="213"/>
      <c r="U126" s="213"/>
      <c r="V126" s="213"/>
    </row>
    <row r="127" ht="15.75" spans="1:22">
      <c r="A127" s="12">
        <v>123</v>
      </c>
      <c r="B127" s="29"/>
      <c r="C127" s="35"/>
      <c r="D127" s="35"/>
      <c r="E127" s="35"/>
      <c r="F127" s="40"/>
      <c r="G127" s="322" t="s">
        <v>457</v>
      </c>
      <c r="H127" s="42"/>
      <c r="I127" s="41"/>
      <c r="J127" s="59" t="s">
        <v>456</v>
      </c>
      <c r="K127" s="243">
        <v>1</v>
      </c>
      <c r="L127" s="233"/>
      <c r="M127" s="93"/>
      <c r="N127" s="59">
        <v>1</v>
      </c>
      <c r="O127" s="47" t="str">
        <f t="shared" si="30"/>
        <v/>
      </c>
      <c r="P127" s="48"/>
      <c r="Q127" s="98"/>
      <c r="R127" s="244"/>
      <c r="S127" s="213"/>
      <c r="T127" s="213"/>
      <c r="U127" s="213"/>
      <c r="V127" s="213"/>
    </row>
    <row r="128" ht="304.5" customHeight="1" spans="1:22">
      <c r="A128" s="12">
        <v>125</v>
      </c>
      <c r="B128" s="29"/>
      <c r="C128" s="35"/>
      <c r="D128" s="35"/>
      <c r="E128" s="35"/>
      <c r="F128" s="40" t="s">
        <v>61</v>
      </c>
      <c r="G128" s="41" t="s">
        <v>458</v>
      </c>
      <c r="H128" s="42"/>
      <c r="I128" s="41"/>
      <c r="J128" s="59" t="s">
        <v>452</v>
      </c>
      <c r="K128" s="97">
        <f>K130/K129</f>
        <v>1</v>
      </c>
      <c r="L128" s="51"/>
      <c r="M128" s="41" t="s">
        <v>459</v>
      </c>
      <c r="N128" s="97">
        <f>N130/N129</f>
        <v>1</v>
      </c>
      <c r="O128" s="47">
        <f t="shared" si="30"/>
        <v>1</v>
      </c>
      <c r="P128" s="48"/>
      <c r="Q128" s="98"/>
      <c r="R128" s="242" t="s">
        <v>460</v>
      </c>
      <c r="S128" s="51"/>
      <c r="T128" s="51"/>
      <c r="U128" s="51"/>
      <c r="V128" s="51"/>
    </row>
    <row r="129" ht="15.75" spans="1:22">
      <c r="A129" s="12">
        <v>126</v>
      </c>
      <c r="B129" s="29"/>
      <c r="C129" s="35"/>
      <c r="D129" s="35"/>
      <c r="E129" s="35"/>
      <c r="F129" s="40"/>
      <c r="G129" s="41" t="s">
        <v>457</v>
      </c>
      <c r="H129" s="42"/>
      <c r="I129" s="51"/>
      <c r="J129" s="59" t="s">
        <v>456</v>
      </c>
      <c r="K129" s="243">
        <v>1</v>
      </c>
      <c r="L129" s="233"/>
      <c r="M129" s="58"/>
      <c r="N129" s="59">
        <v>1</v>
      </c>
      <c r="O129" s="47" t="str">
        <f t="shared" si="30"/>
        <v/>
      </c>
      <c r="P129" s="48"/>
      <c r="Q129" s="98"/>
      <c r="R129" s="245"/>
      <c r="S129" s="213"/>
      <c r="T129" s="213"/>
      <c r="U129" s="213"/>
      <c r="V129" s="213"/>
    </row>
    <row r="130" ht="31.5" spans="1:22">
      <c r="A130" s="12">
        <v>127</v>
      </c>
      <c r="B130" s="29"/>
      <c r="C130" s="35"/>
      <c r="D130" s="35"/>
      <c r="E130" s="35"/>
      <c r="F130" s="40"/>
      <c r="G130" s="41" t="s">
        <v>461</v>
      </c>
      <c r="H130" s="42"/>
      <c r="I130" s="51"/>
      <c r="J130" s="59" t="s">
        <v>456</v>
      </c>
      <c r="K130" s="243">
        <v>1</v>
      </c>
      <c r="L130" s="213"/>
      <c r="M130" s="58"/>
      <c r="N130" s="59">
        <v>1</v>
      </c>
      <c r="O130" s="47" t="str">
        <f t="shared" si="30"/>
        <v/>
      </c>
      <c r="P130" s="48"/>
      <c r="Q130" s="98"/>
      <c r="R130" s="245"/>
      <c r="S130" s="213"/>
      <c r="T130" s="213"/>
      <c r="U130" s="213"/>
      <c r="V130" s="213"/>
    </row>
    <row r="131" ht="15.75" spans="1:22">
      <c r="A131" s="12">
        <v>128</v>
      </c>
      <c r="B131" s="30"/>
      <c r="C131" s="35"/>
      <c r="D131" s="35"/>
      <c r="E131" s="35" t="s">
        <v>68</v>
      </c>
      <c r="F131" s="29" t="s">
        <v>462</v>
      </c>
      <c r="G131" s="30" t="s">
        <v>462</v>
      </c>
      <c r="H131" s="36">
        <v>1</v>
      </c>
      <c r="I131" s="37"/>
      <c r="J131" s="36"/>
      <c r="K131" s="36"/>
      <c r="L131" s="216"/>
      <c r="M131" s="55"/>
      <c r="N131" s="36"/>
      <c r="O131" s="36">
        <f>AVERAGE(O132)*H131</f>
        <v>1</v>
      </c>
      <c r="P131" s="38">
        <f>O131/H131</f>
        <v>1</v>
      </c>
      <c r="Q131" s="81"/>
      <c r="R131" s="246"/>
      <c r="S131" s="39"/>
      <c r="T131" s="39"/>
      <c r="U131" s="39"/>
      <c r="V131" s="39"/>
    </row>
    <row r="132" ht="267.75" spans="1:22">
      <c r="A132" s="12">
        <v>129</v>
      </c>
      <c r="B132" s="29"/>
      <c r="C132" s="35"/>
      <c r="D132" s="35"/>
      <c r="E132" s="35"/>
      <c r="F132" s="321" t="s">
        <v>34</v>
      </c>
      <c r="G132" s="41" t="s">
        <v>463</v>
      </c>
      <c r="H132" s="36">
        <v>1</v>
      </c>
      <c r="I132" s="51" t="s">
        <v>464</v>
      </c>
      <c r="J132" s="59" t="s">
        <v>124</v>
      </c>
      <c r="K132" s="210" t="s">
        <v>65</v>
      </c>
      <c r="L132" s="213"/>
      <c r="M132" s="51" t="s">
        <v>465</v>
      </c>
      <c r="N132" s="44" t="s">
        <v>65</v>
      </c>
      <c r="O132" s="47">
        <f>IF(J132="Ya/Tidak",IF(N132="Ya",1,IF(N132="Tidak",0,"Blm Diisi")),IF(J132="A/B/C",IF(N132="A",1,IF(N132="B",0.5,IF(N132="C",0,"Blm Diisi"))),IF(J132="A/B/C/D",IF(N132="A",1,IF(N132="B",0.67,IF(N132="C",0.33,IF(N132="D",0,"Blm Diisi")))),IF(J132="A/B/C/D/E",IF(N132="A",1,IF(N132="B",0.75,IF(N132="C",0.5,IF(N132="D",0.25,IF(N132="E",0,"Blm Diisi"))))),IF(J132="%",IF(N132="","Blm Diisi",N132),IF(J132="Jumlah",IF(N132="","Blm Diisi",""),IF(J132="Rupiah",IF(N132="","Blm Diisi",""),IF(J132="","","-"))))))))</f>
        <v>1</v>
      </c>
      <c r="P132" s="48"/>
      <c r="Q132" s="98"/>
      <c r="R132" s="242" t="s">
        <v>463</v>
      </c>
      <c r="S132" s="213"/>
      <c r="T132" s="213"/>
      <c r="U132" s="213"/>
      <c r="V132" s="213"/>
    </row>
    <row r="133" ht="15.75" spans="1:22">
      <c r="A133" s="12">
        <v>130</v>
      </c>
      <c r="B133" s="30"/>
      <c r="C133" s="35"/>
      <c r="D133" s="35"/>
      <c r="E133" s="35" t="s">
        <v>83</v>
      </c>
      <c r="F133" s="29" t="s">
        <v>466</v>
      </c>
      <c r="G133" s="30" t="s">
        <v>466</v>
      </c>
      <c r="H133" s="36">
        <v>1</v>
      </c>
      <c r="I133" s="37"/>
      <c r="J133" s="36"/>
      <c r="K133" s="36"/>
      <c r="L133" s="216"/>
      <c r="M133" s="100"/>
      <c r="N133" s="36"/>
      <c r="O133" s="36">
        <f>AVERAGE(O134)*H133</f>
        <v>1</v>
      </c>
      <c r="P133" s="38">
        <f>O133/H133</f>
        <v>1</v>
      </c>
      <c r="Q133" s="81"/>
      <c r="R133" s="246"/>
      <c r="S133" s="247"/>
      <c r="T133" s="247"/>
      <c r="U133" s="247"/>
      <c r="V133" s="247"/>
    </row>
    <row r="134" ht="228" customHeight="1" spans="1:22">
      <c r="A134" s="12">
        <v>131</v>
      </c>
      <c r="B134" s="29"/>
      <c r="C134" s="35"/>
      <c r="D134" s="35"/>
      <c r="E134" s="35"/>
      <c r="F134" s="321" t="s">
        <v>34</v>
      </c>
      <c r="G134" s="41" t="s">
        <v>467</v>
      </c>
      <c r="H134" s="42"/>
      <c r="I134" s="51" t="s">
        <v>468</v>
      </c>
      <c r="J134" s="59" t="s">
        <v>87</v>
      </c>
      <c r="K134" s="210" t="s">
        <v>65</v>
      </c>
      <c r="L134" s="213"/>
      <c r="M134" s="51" t="s">
        <v>469</v>
      </c>
      <c r="N134" s="44" t="s">
        <v>65</v>
      </c>
      <c r="O134" s="47">
        <f>IF(J134="Ya/Tidak",IF(N134="Ya",1,IF(N134="Tidak",0,"Blm Diisi")),IF(J134="A/B/C",IF(N134="A",1,IF(N134="B",0.5,IF(N134="C",0,"Blm Diisi"))),IF(J134="A/B/C/D",IF(N134="A",1,IF(N134="B",0.67,IF(N134="C",0.33,IF(N134="D",0,"Blm Diisi")))),IF(J134="A/B/C/D/E",IF(N134="A",1,IF(N134="B",0.75,IF(N134="C",0.5,IF(N134="D",0.25,IF(N134="E",0,"Blm Diisi"))))),IF(J134="%",IF(N134="","Blm Diisi",N134),IF(J134="Jumlah",IF(N134="","Blm Diisi",""),IF(J134="Rupiah",IF(N134="","Blm Diisi",""),IF(J134="","","-"))))))))</f>
        <v>1</v>
      </c>
      <c r="P134" s="48"/>
      <c r="Q134" s="98"/>
      <c r="R134" s="242" t="s">
        <v>467</v>
      </c>
      <c r="S134" s="213"/>
      <c r="T134" s="213"/>
      <c r="U134" s="213"/>
      <c r="V134" s="213"/>
    </row>
    <row r="135" ht="15.75" spans="1:22">
      <c r="A135" s="12">
        <v>134</v>
      </c>
      <c r="B135" s="26"/>
      <c r="C135" s="27"/>
      <c r="D135" s="28" t="s">
        <v>13</v>
      </c>
      <c r="E135" s="29" t="s">
        <v>14</v>
      </c>
      <c r="F135" s="29"/>
      <c r="G135" s="30"/>
      <c r="H135" s="31">
        <v>3.5</v>
      </c>
      <c r="I135" s="32"/>
      <c r="J135" s="31"/>
      <c r="K135" s="31"/>
      <c r="L135" s="216"/>
      <c r="M135" s="55"/>
      <c r="N135" s="31"/>
      <c r="O135" s="31">
        <f>SUM(O136,O138,O141)</f>
        <v>3.5</v>
      </c>
      <c r="P135" s="33">
        <f t="shared" ref="P135:P136" si="31">O135/H135</f>
        <v>1</v>
      </c>
      <c r="Q135" s="96"/>
      <c r="R135" s="248"/>
      <c r="S135" s="34"/>
      <c r="T135" s="34"/>
      <c r="U135" s="34"/>
      <c r="V135" s="34"/>
    </row>
    <row r="136" ht="15.75" spans="1:22">
      <c r="A136" s="12">
        <v>135</v>
      </c>
      <c r="B136" s="30"/>
      <c r="C136" s="35"/>
      <c r="D136" s="35"/>
      <c r="E136" s="35" t="s">
        <v>52</v>
      </c>
      <c r="F136" s="29" t="s">
        <v>470</v>
      </c>
      <c r="G136" s="30"/>
      <c r="H136" s="36">
        <v>0.5</v>
      </c>
      <c r="I136" s="37"/>
      <c r="J136" s="36"/>
      <c r="K136" s="36"/>
      <c r="L136" s="216"/>
      <c r="M136" s="55"/>
      <c r="N136" s="36"/>
      <c r="O136" s="36">
        <f>AVERAGE(O137)*H136</f>
        <v>0.5</v>
      </c>
      <c r="P136" s="38">
        <f t="shared" si="31"/>
        <v>1</v>
      </c>
      <c r="Q136" s="81"/>
      <c r="R136" s="246"/>
      <c r="S136" s="39"/>
      <c r="T136" s="39"/>
      <c r="U136" s="39"/>
      <c r="V136" s="39"/>
    </row>
    <row r="137" ht="266.25" customHeight="1" spans="1:22">
      <c r="A137" s="12">
        <v>136</v>
      </c>
      <c r="B137" s="29"/>
      <c r="C137" s="35"/>
      <c r="D137" s="35"/>
      <c r="E137" s="35"/>
      <c r="F137" s="321" t="s">
        <v>34</v>
      </c>
      <c r="G137" s="41" t="s">
        <v>471</v>
      </c>
      <c r="H137" s="42"/>
      <c r="I137" s="51" t="s">
        <v>472</v>
      </c>
      <c r="J137" s="59" t="s">
        <v>87</v>
      </c>
      <c r="K137" s="210" t="s">
        <v>65</v>
      </c>
      <c r="L137" s="213"/>
      <c r="M137" s="51" t="s">
        <v>473</v>
      </c>
      <c r="N137" s="44" t="s">
        <v>65</v>
      </c>
      <c r="O137" s="47">
        <f>IF(J137="Ya/Tidak",IF(N137="Ya",1,IF(N137="Tidak",0,"Blm Diisi")),IF(J137="A/B/C",IF(N137="A",1,IF(N137="B",0.5,IF(N137="C",0,"Blm Diisi"))),IF(J137="A/B/C/D",IF(N137="A",1,IF(N137="B",0.67,IF(N137="C",0.33,IF(N137="D",0,"Blm Diisi")))),IF(J137="A/B/C/D/E",IF(N137="A",1,IF(N137="B",0.75,IF(N137="C",0.5,IF(N137="D",0.25,IF(N137="E",0,"Blm Diisi"))))),IF(J137="%",IF(N137="","Blm Diisi",N137),IF(J137="Jumlah",IF(N137="","Blm Diisi",""),IF(J137="Rupiah",IF(N137="","Blm Diisi",""),IF(J137="","","-"))))))))</f>
        <v>1</v>
      </c>
      <c r="P137" s="48"/>
      <c r="Q137" s="249"/>
      <c r="R137" s="250" t="s">
        <v>471</v>
      </c>
      <c r="S137" s="226"/>
      <c r="T137" s="226"/>
      <c r="U137" s="226"/>
      <c r="V137" s="226"/>
    </row>
    <row r="138" ht="15.75" spans="1:22">
      <c r="A138" s="12">
        <v>137</v>
      </c>
      <c r="B138" s="30"/>
      <c r="C138" s="35"/>
      <c r="D138" s="35"/>
      <c r="E138" s="35" t="s">
        <v>68</v>
      </c>
      <c r="F138" s="29" t="s">
        <v>474</v>
      </c>
      <c r="G138" s="30"/>
      <c r="H138" s="36">
        <v>1</v>
      </c>
      <c r="I138" s="37"/>
      <c r="J138" s="36"/>
      <c r="K138" s="36"/>
      <c r="L138" s="216"/>
      <c r="M138" s="100"/>
      <c r="N138" s="36"/>
      <c r="O138" s="36">
        <f>AVERAGE(O139:O140)*H138</f>
        <v>1</v>
      </c>
      <c r="P138" s="38">
        <f>O138/H138</f>
        <v>1</v>
      </c>
      <c r="Q138" s="81"/>
      <c r="R138" s="246"/>
      <c r="S138" s="39"/>
      <c r="T138" s="39"/>
      <c r="U138" s="39"/>
      <c r="V138" s="39"/>
    </row>
    <row r="139" ht="189" spans="1:22">
      <c r="A139" s="12">
        <v>138</v>
      </c>
      <c r="B139" s="29"/>
      <c r="C139" s="35"/>
      <c r="D139" s="35"/>
      <c r="E139" s="35"/>
      <c r="F139" s="40" t="s">
        <v>28</v>
      </c>
      <c r="G139" s="41" t="s">
        <v>475</v>
      </c>
      <c r="H139" s="42"/>
      <c r="I139" s="51" t="s">
        <v>476</v>
      </c>
      <c r="J139" s="59" t="s">
        <v>64</v>
      </c>
      <c r="K139" s="210" t="s">
        <v>65</v>
      </c>
      <c r="L139" s="213"/>
      <c r="M139" s="51" t="s">
        <v>477</v>
      </c>
      <c r="N139" s="44" t="s">
        <v>65</v>
      </c>
      <c r="O139" s="47">
        <f t="shared" ref="O139:O140" si="32">IF(J139="Ya/Tidak",IF(N139="Ya",1,IF(N139="Tidak",0,"Blm Diisi")),IF(J139="A/B/C",IF(N139="A",1,IF(N139="B",0.5,IF(N139="C",0,"Blm Diisi"))),IF(J139="A/B/C/D",IF(N139="A",1,IF(N139="B",0.67,IF(N139="C",0.33,IF(N139="D",0,"Blm Diisi")))),IF(J139="A/B/C/D/E",IF(N139="A",1,IF(N139="B",0.75,IF(N139="C",0.5,IF(N139="D",0.25,IF(N139="E",0,"Blm Diisi"))))),IF(J139="%",IF(N139="","Blm Diisi",N139),IF(J139="Jumlah",IF(N139="","Blm Diisi",""),IF(J139="Rupiah",IF(N139="","Blm Diisi",""),IF(J139="","","-"))))))))</f>
        <v>1</v>
      </c>
      <c r="P139" s="48"/>
      <c r="Q139" s="98"/>
      <c r="R139" s="242" t="s">
        <v>478</v>
      </c>
      <c r="S139" s="213"/>
      <c r="T139" s="213"/>
      <c r="U139" s="213"/>
      <c r="V139" s="213"/>
    </row>
    <row r="140" ht="189" spans="1:22">
      <c r="A140" s="12">
        <v>139</v>
      </c>
      <c r="B140" s="29"/>
      <c r="C140" s="35"/>
      <c r="D140" s="35"/>
      <c r="E140" s="35"/>
      <c r="F140" s="40" t="s">
        <v>30</v>
      </c>
      <c r="G140" s="41" t="s">
        <v>479</v>
      </c>
      <c r="H140" s="42"/>
      <c r="I140" s="51" t="s">
        <v>480</v>
      </c>
      <c r="J140" s="59" t="s">
        <v>64</v>
      </c>
      <c r="K140" s="210" t="s">
        <v>65</v>
      </c>
      <c r="L140" s="213"/>
      <c r="M140" s="51" t="s">
        <v>481</v>
      </c>
      <c r="N140" s="44" t="s">
        <v>65</v>
      </c>
      <c r="O140" s="47">
        <f t="shared" si="32"/>
        <v>1</v>
      </c>
      <c r="P140" s="48"/>
      <c r="Q140" s="98"/>
      <c r="R140" s="242" t="s">
        <v>482</v>
      </c>
      <c r="S140" s="213"/>
      <c r="T140" s="213"/>
      <c r="U140" s="213"/>
      <c r="V140" s="213"/>
    </row>
    <row r="141" ht="15.75" spans="1:22">
      <c r="A141" s="12">
        <v>140</v>
      </c>
      <c r="B141" s="30"/>
      <c r="C141" s="35"/>
      <c r="D141" s="35"/>
      <c r="E141" s="35" t="s">
        <v>83</v>
      </c>
      <c r="F141" s="29" t="s">
        <v>483</v>
      </c>
      <c r="G141" s="30"/>
      <c r="H141" s="36">
        <v>2</v>
      </c>
      <c r="I141" s="37"/>
      <c r="J141" s="36"/>
      <c r="K141" s="36"/>
      <c r="L141" s="216"/>
      <c r="M141" s="100"/>
      <c r="N141" s="36"/>
      <c r="O141" s="36">
        <f>AVERAGE(O142:O144)*H141</f>
        <v>2</v>
      </c>
      <c r="P141" s="38">
        <f>O141/H141</f>
        <v>1</v>
      </c>
      <c r="Q141" s="81"/>
      <c r="R141" s="246"/>
      <c r="S141" s="39"/>
      <c r="T141" s="39"/>
      <c r="U141" s="39"/>
      <c r="V141" s="39"/>
    </row>
    <row r="142" ht="409.5" spans="1:22">
      <c r="A142" s="12">
        <v>141</v>
      </c>
      <c r="B142" s="29"/>
      <c r="C142" s="35"/>
      <c r="D142" s="35"/>
      <c r="E142" s="35"/>
      <c r="F142" s="40" t="s">
        <v>54</v>
      </c>
      <c r="G142" s="41" t="s">
        <v>484</v>
      </c>
      <c r="H142" s="42"/>
      <c r="I142" s="51" t="s">
        <v>485</v>
      </c>
      <c r="J142" s="59" t="s">
        <v>124</v>
      </c>
      <c r="K142" s="210" t="s">
        <v>65</v>
      </c>
      <c r="L142" s="213"/>
      <c r="M142" s="51" t="s">
        <v>486</v>
      </c>
      <c r="N142" s="44" t="s">
        <v>65</v>
      </c>
      <c r="O142" s="47">
        <f t="shared" ref="O142:O144" si="33">IF(J142="Ya/Tidak",IF(N142="Ya",1,IF(N142="Tidak",0,"Blm Diisi")),IF(J142="A/B/C",IF(N142="A",1,IF(N142="B",0.5,IF(N142="C",0,"Blm Diisi"))),IF(J142="A/B/C/D",IF(N142="A",1,IF(N142="B",0.67,IF(N142="C",0.33,IF(N142="D",0,"Blm Diisi")))),IF(J142="A/B/C/D/E",IF(N142="A",1,IF(N142="B",0.75,IF(N142="C",0.5,IF(N142="D",0.25,IF(N142="E",0,"Blm Diisi"))))),IF(J142="%",IF(N142="","Blm Diisi",N142),IF(J142="Jumlah",IF(N142="","Blm Diisi",""),IF(J142="Rupiah",IF(N142="","Blm Diisi",""),IF(J142="","","-"))))))))</f>
        <v>1</v>
      </c>
      <c r="P142" s="48"/>
      <c r="Q142" s="98"/>
      <c r="R142" s="242" t="s">
        <v>487</v>
      </c>
      <c r="S142" s="213"/>
      <c r="T142" s="213"/>
      <c r="U142" s="213"/>
      <c r="V142" s="213"/>
    </row>
    <row r="143" ht="409.5" spans="1:22">
      <c r="A143" s="12">
        <v>142</v>
      </c>
      <c r="B143" s="29"/>
      <c r="C143" s="35"/>
      <c r="D143" s="35"/>
      <c r="E143" s="35"/>
      <c r="F143" s="40" t="s">
        <v>61</v>
      </c>
      <c r="G143" s="41" t="s">
        <v>488</v>
      </c>
      <c r="H143" s="42"/>
      <c r="I143" s="51" t="s">
        <v>489</v>
      </c>
      <c r="J143" s="59" t="s">
        <v>124</v>
      </c>
      <c r="K143" s="210" t="s">
        <v>65</v>
      </c>
      <c r="L143" s="213"/>
      <c r="M143" s="51" t="s">
        <v>490</v>
      </c>
      <c r="N143" s="44" t="s">
        <v>65</v>
      </c>
      <c r="O143" s="47">
        <f t="shared" si="33"/>
        <v>1</v>
      </c>
      <c r="P143" s="48"/>
      <c r="Q143" s="98"/>
      <c r="R143" s="242" t="s">
        <v>491</v>
      </c>
      <c r="S143" s="213"/>
      <c r="T143" s="213"/>
      <c r="U143" s="213"/>
      <c r="V143" s="213"/>
    </row>
    <row r="144" ht="409.5" spans="1:22">
      <c r="A144" s="12">
        <v>143</v>
      </c>
      <c r="B144" s="29"/>
      <c r="C144" s="35"/>
      <c r="D144" s="35"/>
      <c r="E144" s="35"/>
      <c r="F144" s="40" t="s">
        <v>78</v>
      </c>
      <c r="G144" s="41" t="s">
        <v>492</v>
      </c>
      <c r="H144" s="42"/>
      <c r="I144" s="51" t="s">
        <v>493</v>
      </c>
      <c r="J144" s="59" t="s">
        <v>124</v>
      </c>
      <c r="K144" s="210" t="s">
        <v>65</v>
      </c>
      <c r="L144" s="213"/>
      <c r="M144" s="51" t="s">
        <v>494</v>
      </c>
      <c r="N144" s="44" t="s">
        <v>65</v>
      </c>
      <c r="O144" s="47">
        <f t="shared" si="33"/>
        <v>1</v>
      </c>
      <c r="P144" s="48"/>
      <c r="Q144" s="98"/>
      <c r="R144" s="242" t="s">
        <v>495</v>
      </c>
      <c r="S144" s="213"/>
      <c r="T144" s="213"/>
      <c r="U144" s="213"/>
      <c r="V144" s="213"/>
    </row>
    <row r="145" ht="15.75" spans="1:22">
      <c r="A145" s="12">
        <v>147</v>
      </c>
      <c r="B145" s="26"/>
      <c r="C145" s="27"/>
      <c r="D145" s="28" t="s">
        <v>15</v>
      </c>
      <c r="E145" s="29" t="s">
        <v>16</v>
      </c>
      <c r="F145" s="29"/>
      <c r="G145" s="30"/>
      <c r="H145" s="31">
        <v>5</v>
      </c>
      <c r="I145" s="32"/>
      <c r="J145" s="31"/>
      <c r="K145" s="31"/>
      <c r="L145" s="216"/>
      <c r="M145" s="55"/>
      <c r="N145" s="31"/>
      <c r="O145" s="31">
        <f>SUM(O146,O148,O150)</f>
        <v>5</v>
      </c>
      <c r="P145" s="33">
        <f t="shared" ref="P145:P146" si="34">O145/H145</f>
        <v>1</v>
      </c>
      <c r="Q145" s="96"/>
      <c r="R145" s="248"/>
      <c r="S145" s="34"/>
      <c r="T145" s="34"/>
      <c r="U145" s="34"/>
      <c r="V145" s="34"/>
    </row>
    <row r="146" ht="15.75" spans="1:22">
      <c r="A146" s="12">
        <v>148</v>
      </c>
      <c r="B146" s="30"/>
      <c r="C146" s="35"/>
      <c r="D146" s="35"/>
      <c r="E146" s="35" t="s">
        <v>52</v>
      </c>
      <c r="F146" s="29" t="s">
        <v>496</v>
      </c>
      <c r="G146" s="30"/>
      <c r="H146" s="36">
        <v>1.5</v>
      </c>
      <c r="I146" s="37"/>
      <c r="J146" s="36"/>
      <c r="K146" s="36"/>
      <c r="L146" s="216"/>
      <c r="M146" s="55"/>
      <c r="N146" s="36"/>
      <c r="O146" s="36">
        <f>AVERAGE(O147)*H146</f>
        <v>1.5</v>
      </c>
      <c r="P146" s="38">
        <f t="shared" si="34"/>
        <v>1</v>
      </c>
      <c r="Q146" s="81"/>
      <c r="R146" s="246"/>
      <c r="S146" s="39"/>
      <c r="T146" s="39"/>
      <c r="U146" s="39"/>
      <c r="V146" s="39"/>
    </row>
    <row r="147" ht="240" customHeight="1" spans="1:22">
      <c r="A147" s="12">
        <v>149</v>
      </c>
      <c r="B147" s="29"/>
      <c r="C147" s="35"/>
      <c r="D147" s="35"/>
      <c r="E147" s="35"/>
      <c r="F147" s="321" t="s">
        <v>28</v>
      </c>
      <c r="G147" s="41" t="s">
        <v>497</v>
      </c>
      <c r="H147" s="42"/>
      <c r="I147" s="51" t="s">
        <v>498</v>
      </c>
      <c r="J147" s="59" t="s">
        <v>64</v>
      </c>
      <c r="K147" s="210" t="s">
        <v>65</v>
      </c>
      <c r="L147" s="213"/>
      <c r="M147" s="51" t="s">
        <v>499</v>
      </c>
      <c r="N147" s="44" t="s">
        <v>65</v>
      </c>
      <c r="O147" s="47">
        <f>IF(J147="Ya/Tidak",IF(N147="Ya",1,IF(N147="Tidak",0,"Blm Diisi")),IF(J147="A/B/C",IF(N147="A",1,IF(N147="B",0.5,IF(N147="C",0,"Blm Diisi"))),IF(J147="A/B/C/D",IF(N147="A",1,IF(N147="B",0.67,IF(N147="C",0.33,IF(N147="D",0,"Blm Diisi")))),IF(J147="A/B/C/D/E",IF(N147="A",1,IF(N147="B",0.75,IF(N147="C",0.5,IF(N147="D",0.25,IF(N147="E",0,"Blm Diisi"))))),IF(J147="%",IF(N147="","Blm Diisi",N147),IF(J147="Jumlah",IF(N147="","Blm Diisi",""),IF(J147="Rupiah",IF(N147="","Blm Diisi",""),IF(J147="","","-"))))))))</f>
        <v>1</v>
      </c>
      <c r="P147" s="48"/>
      <c r="Q147" s="98"/>
      <c r="R147" s="242" t="s">
        <v>500</v>
      </c>
      <c r="S147" s="213"/>
      <c r="T147" s="213"/>
      <c r="U147" s="213"/>
      <c r="V147" s="213"/>
    </row>
    <row r="148" ht="15.75" spans="1:22">
      <c r="A148" s="12">
        <v>150</v>
      </c>
      <c r="B148" s="30"/>
      <c r="C148" s="35"/>
      <c r="D148" s="35"/>
      <c r="E148" s="35" t="s">
        <v>68</v>
      </c>
      <c r="F148" s="29" t="s">
        <v>501</v>
      </c>
      <c r="G148" s="30"/>
      <c r="H148" s="36">
        <v>1.5</v>
      </c>
      <c r="I148" s="37"/>
      <c r="J148" s="36"/>
      <c r="K148" s="36"/>
      <c r="L148" s="216"/>
      <c r="M148" s="55"/>
      <c r="N148" s="36"/>
      <c r="O148" s="36">
        <f>AVERAGE(O149)*H148</f>
        <v>1.5</v>
      </c>
      <c r="P148" s="38">
        <f>O148/H148</f>
        <v>1</v>
      </c>
      <c r="Q148" s="81"/>
      <c r="R148" s="246"/>
      <c r="S148" s="39"/>
      <c r="T148" s="39"/>
      <c r="U148" s="39"/>
      <c r="V148" s="39"/>
    </row>
    <row r="149" ht="220.5" spans="1:22">
      <c r="A149" s="12">
        <v>151</v>
      </c>
      <c r="B149" s="29"/>
      <c r="C149" s="35"/>
      <c r="D149" s="35"/>
      <c r="E149" s="35"/>
      <c r="F149" s="321" t="s">
        <v>28</v>
      </c>
      <c r="G149" s="41" t="s">
        <v>502</v>
      </c>
      <c r="H149" s="42"/>
      <c r="I149" s="51" t="s">
        <v>503</v>
      </c>
      <c r="J149" s="59" t="s">
        <v>64</v>
      </c>
      <c r="K149" s="210" t="s">
        <v>65</v>
      </c>
      <c r="L149" s="213"/>
      <c r="M149" s="51" t="s">
        <v>504</v>
      </c>
      <c r="N149" s="44" t="s">
        <v>65</v>
      </c>
      <c r="O149" s="47">
        <f>IF(J149="Ya/Tidak",IF(N149="Ya",1,IF(N149="Tidak",0,"Blm Diisi")),IF(J149="A/B/C",IF(N149="A",1,IF(N149="B",0.5,IF(N149="C",0,"Blm Diisi"))),IF(J149="A/B/C/D",IF(N149="A",1,IF(N149="B",0.67,IF(N149="C",0.33,IF(N149="D",0,"Blm Diisi")))),IF(J149="A/B/C/D/E",IF(N149="A",1,IF(N149="B",0.75,IF(N149="C",0.5,IF(N149="D",0.25,IF(N149="E",0,"Blm Diisi"))))),IF(J149="%",IF(N149="","Blm Diisi",N149),IF(J149="Jumlah",IF(N149="","Blm Diisi",""),IF(J149="Rupiah",IF(N149="","Blm Diisi",""),IF(J149="","","-"))))))))</f>
        <v>1</v>
      </c>
      <c r="P149" s="48"/>
      <c r="Q149" s="98"/>
      <c r="R149" s="242" t="s">
        <v>505</v>
      </c>
      <c r="S149" s="213"/>
      <c r="T149" s="213"/>
      <c r="U149" s="213"/>
      <c r="V149" s="213"/>
    </row>
    <row r="150" ht="15.75" spans="1:22">
      <c r="A150" s="12">
        <v>152</v>
      </c>
      <c r="B150" s="30"/>
      <c r="C150" s="35"/>
      <c r="D150" s="35"/>
      <c r="E150" s="35" t="s">
        <v>83</v>
      </c>
      <c r="F150" s="29" t="s">
        <v>506</v>
      </c>
      <c r="G150" s="30"/>
      <c r="H150" s="36">
        <v>2</v>
      </c>
      <c r="I150" s="37"/>
      <c r="J150" s="36"/>
      <c r="K150" s="36"/>
      <c r="L150" s="216"/>
      <c r="M150" s="100"/>
      <c r="N150" s="36"/>
      <c r="O150" s="36">
        <f>AVERAGE(O151:O154)*H150</f>
        <v>2</v>
      </c>
      <c r="P150" s="38">
        <f>O150/H150</f>
        <v>1</v>
      </c>
      <c r="Q150" s="81"/>
      <c r="R150" s="246"/>
      <c r="S150" s="39"/>
      <c r="T150" s="39"/>
      <c r="U150" s="39"/>
      <c r="V150" s="39"/>
    </row>
    <row r="151" ht="94.5" spans="1:22">
      <c r="A151" s="12">
        <v>153</v>
      </c>
      <c r="B151" s="29"/>
      <c r="C151" s="35"/>
      <c r="D151" s="35"/>
      <c r="E151" s="35"/>
      <c r="F151" s="321" t="s">
        <v>28</v>
      </c>
      <c r="G151" s="41" t="s">
        <v>507</v>
      </c>
      <c r="H151" s="42"/>
      <c r="I151" s="41" t="s">
        <v>508</v>
      </c>
      <c r="J151" s="59" t="s">
        <v>452</v>
      </c>
      <c r="K151" s="97">
        <f>IF(OR(K152="",K153=""),"#DIV/0!",IF(K153=0,100%,IF(AND(K152=0,K153&gt;0),0%,IF((K152-K153)/K152&lt;0,0%,(K152-K153)/K152))))</f>
        <v>1</v>
      </c>
      <c r="L151" s="51"/>
      <c r="M151" s="41" t="s">
        <v>509</v>
      </c>
      <c r="N151" s="97">
        <f>IF(OR(N152="",N153=""),"#DIV/0!",IF(N153=0,100%,IF(AND(N152=0,N153&gt;0),0%,IF((N152-N153)/N152&lt;0,0%,(N152-N153)/N152))))</f>
        <v>1</v>
      </c>
      <c r="O151" s="47">
        <f t="shared" ref="O151:O154" si="35">IF(J151="Ya/Tidak",IF(N151="Ya",1,IF(N151="Tidak",0,"Blm Diisi")),IF(J151="A/B/C",IF(N151="A",1,IF(N151="B",0.5,IF(N151="C",0,"Blm Diisi"))),IF(J151="A/B/C/D",IF(N151="A",1,IF(N151="B",0.67,IF(N151="C",0.33,IF(N151="D",0,"Blm Diisi")))),IF(J151="A/B/C/D/E",IF(N151="A",1,IF(N151="B",0.75,IF(N151="C",0.5,IF(N151="D",0.25,IF(N151="E",0,"Blm Diisi"))))),IF(J151="%",IF(N151="","Blm Diisi",N151),IF(J151="Jumlah",IF(N151="","Blm Diisi",""),IF(J151="Rupiah",IF(N151="","Blm Diisi",""),IF(J151="","","-"))))))))</f>
        <v>1</v>
      </c>
      <c r="P151" s="48"/>
      <c r="Q151" s="102"/>
      <c r="R151" s="242" t="s">
        <v>510</v>
      </c>
      <c r="S151" s="39"/>
      <c r="T151" s="39"/>
      <c r="U151" s="39"/>
      <c r="V151" s="39"/>
    </row>
    <row r="152" ht="15.75" spans="1:22">
      <c r="A152" s="12">
        <v>154</v>
      </c>
      <c r="B152" s="29"/>
      <c r="C152" s="35"/>
      <c r="D152" s="35"/>
      <c r="E152" s="35"/>
      <c r="F152" s="40"/>
      <c r="G152" s="322" t="s">
        <v>511</v>
      </c>
      <c r="H152" s="42"/>
      <c r="I152" s="41"/>
      <c r="J152" s="59" t="s">
        <v>456</v>
      </c>
      <c r="K152" s="243">
        <v>1</v>
      </c>
      <c r="L152" s="213"/>
      <c r="M152" s="93"/>
      <c r="N152" s="59">
        <v>1</v>
      </c>
      <c r="O152" s="47" t="str">
        <f t="shared" si="35"/>
        <v/>
      </c>
      <c r="P152" s="48"/>
      <c r="Q152" s="98"/>
      <c r="R152" s="245"/>
      <c r="S152" s="213"/>
      <c r="T152" s="213"/>
      <c r="U152" s="213"/>
      <c r="V152" s="213"/>
    </row>
    <row r="153" ht="15.75" spans="1:22">
      <c r="A153" s="12">
        <v>155</v>
      </c>
      <c r="B153" s="29"/>
      <c r="C153" s="35"/>
      <c r="D153" s="35"/>
      <c r="E153" s="35"/>
      <c r="F153" s="40"/>
      <c r="G153" s="322" t="s">
        <v>512</v>
      </c>
      <c r="H153" s="42"/>
      <c r="I153" s="41"/>
      <c r="J153" s="59" t="s">
        <v>456</v>
      </c>
      <c r="K153" s="243">
        <v>0</v>
      </c>
      <c r="L153" s="213"/>
      <c r="M153" s="93"/>
      <c r="N153" s="59">
        <v>0</v>
      </c>
      <c r="O153" s="47" t="str">
        <f t="shared" si="35"/>
        <v/>
      </c>
      <c r="P153" s="48"/>
      <c r="Q153" s="98"/>
      <c r="R153" s="245"/>
      <c r="S153" s="213"/>
      <c r="T153" s="213"/>
      <c r="U153" s="213"/>
      <c r="V153" s="213"/>
    </row>
    <row r="154" ht="15.75" spans="1:22">
      <c r="A154" s="12">
        <v>156</v>
      </c>
      <c r="B154" s="29"/>
      <c r="C154" s="35"/>
      <c r="D154" s="35"/>
      <c r="E154" s="35"/>
      <c r="F154" s="40"/>
      <c r="G154" s="322" t="s">
        <v>513</v>
      </c>
      <c r="H154" s="42"/>
      <c r="I154" s="41"/>
      <c r="J154" s="59" t="s">
        <v>456</v>
      </c>
      <c r="K154" s="243">
        <v>0</v>
      </c>
      <c r="L154" s="213"/>
      <c r="M154" s="93"/>
      <c r="N154" s="59">
        <v>0</v>
      </c>
      <c r="O154" s="47" t="str">
        <f t="shared" si="35"/>
        <v/>
      </c>
      <c r="P154" s="48"/>
      <c r="Q154" s="98"/>
      <c r="R154" s="245"/>
      <c r="S154" s="213"/>
      <c r="T154" s="213"/>
      <c r="U154" s="213"/>
      <c r="V154" s="213"/>
    </row>
    <row r="155" ht="15.75" spans="1:22">
      <c r="A155" s="12">
        <v>157</v>
      </c>
      <c r="B155" s="26"/>
      <c r="C155" s="27"/>
      <c r="D155" s="28" t="s">
        <v>17</v>
      </c>
      <c r="E155" s="29" t="s">
        <v>18</v>
      </c>
      <c r="F155" s="29"/>
      <c r="G155" s="30"/>
      <c r="H155" s="31">
        <v>5</v>
      </c>
      <c r="I155" s="32"/>
      <c r="J155" s="31"/>
      <c r="K155" s="31"/>
      <c r="L155" s="216"/>
      <c r="M155" s="100"/>
      <c r="N155" s="31"/>
      <c r="O155" s="31">
        <f>SUM(O156,O160,O162)</f>
        <v>5</v>
      </c>
      <c r="P155" s="33"/>
      <c r="Q155" s="96"/>
      <c r="R155" s="248"/>
      <c r="S155" s="34"/>
      <c r="T155" s="34"/>
      <c r="U155" s="34"/>
      <c r="V155" s="34"/>
    </row>
    <row r="156" ht="15.75" spans="1:22">
      <c r="A156" s="12">
        <v>173</v>
      </c>
      <c r="B156" s="30"/>
      <c r="C156" s="35"/>
      <c r="D156" s="35"/>
      <c r="E156" s="35" t="s">
        <v>52</v>
      </c>
      <c r="F156" s="29" t="s">
        <v>514</v>
      </c>
      <c r="G156" s="30"/>
      <c r="H156" s="36">
        <v>2</v>
      </c>
      <c r="I156" s="37"/>
      <c r="J156" s="36"/>
      <c r="K156" s="36"/>
      <c r="L156" s="216"/>
      <c r="M156" s="100"/>
      <c r="N156" s="36"/>
      <c r="O156" s="36">
        <f>AVERAGE(O157:O159)*H156</f>
        <v>2</v>
      </c>
      <c r="P156" s="38">
        <f>O156/H156</f>
        <v>1</v>
      </c>
      <c r="Q156" s="81"/>
      <c r="R156" s="246"/>
      <c r="S156" s="39"/>
      <c r="T156" s="39"/>
      <c r="U156" s="39"/>
      <c r="V156" s="39"/>
    </row>
    <row r="157" ht="150.75" customHeight="1" spans="1:22">
      <c r="A157" s="12">
        <v>174</v>
      </c>
      <c r="B157" s="29"/>
      <c r="C157" s="35"/>
      <c r="D157" s="35"/>
      <c r="E157" s="35"/>
      <c r="F157" s="321" t="s">
        <v>34</v>
      </c>
      <c r="G157" s="322" t="s">
        <v>515</v>
      </c>
      <c r="H157" s="42"/>
      <c r="I157" s="41" t="s">
        <v>516</v>
      </c>
      <c r="J157" s="59" t="s">
        <v>452</v>
      </c>
      <c r="K157" s="97">
        <f>K159/K158</f>
        <v>1</v>
      </c>
      <c r="L157" s="51"/>
      <c r="M157" s="41" t="s">
        <v>517</v>
      </c>
      <c r="N157" s="97">
        <f>N159/N158</f>
        <v>1</v>
      </c>
      <c r="O157" s="47">
        <f t="shared" ref="O157:O159" si="36">IF(J157="Ya/Tidak",IF(N157="Ya",1,IF(N157="Tidak",0,"Blm Diisi")),IF(J157="A/B/C",IF(N157="A",1,IF(N157="B",0.5,IF(N157="C",0,"Blm Diisi"))),IF(J157="A/B/C/D",IF(N157="A",1,IF(N157="B",0.67,IF(N157="C",0.33,IF(N157="D",0,"Blm Diisi")))),IF(J157="A/B/C/D/E",IF(N157="A",1,IF(N157="B",0.75,IF(N157="C",0.5,IF(N157="D",0.25,IF(N157="E",0,"Blm Diisi"))))),IF(J157="%",IF(N157="","Blm Diisi",N157),IF(J157="Jumlah",IF(N157="","Blm Diisi",""),IF(J157="Rupiah",IF(N157="","Blm Diisi",""),IF(J157="","","-"))))))))</f>
        <v>1</v>
      </c>
      <c r="P157" s="48"/>
      <c r="Q157" s="98"/>
      <c r="R157" s="242" t="s">
        <v>518</v>
      </c>
      <c r="S157" s="51"/>
      <c r="T157" s="51"/>
      <c r="U157" s="51"/>
      <c r="V157" s="51"/>
    </row>
    <row r="158" ht="15.75" spans="1:22">
      <c r="A158" s="12">
        <v>175</v>
      </c>
      <c r="B158" s="29"/>
      <c r="C158" s="35"/>
      <c r="D158" s="35"/>
      <c r="E158" s="35"/>
      <c r="F158" s="103"/>
      <c r="G158" s="322" t="s">
        <v>519</v>
      </c>
      <c r="H158" s="42"/>
      <c r="I158" s="41"/>
      <c r="J158" s="59" t="s">
        <v>456</v>
      </c>
      <c r="K158" s="243">
        <v>1</v>
      </c>
      <c r="L158" s="233"/>
      <c r="M158" s="93"/>
      <c r="N158" s="59">
        <v>1</v>
      </c>
      <c r="O158" s="47" t="str">
        <f t="shared" si="36"/>
        <v/>
      </c>
      <c r="P158" s="48"/>
      <c r="Q158" s="98"/>
      <c r="R158" s="245"/>
      <c r="S158" s="213"/>
      <c r="T158" s="213"/>
      <c r="U158" s="213"/>
      <c r="V158" s="213"/>
    </row>
    <row r="159" ht="15.75" spans="1:22">
      <c r="A159" s="12">
        <v>176</v>
      </c>
      <c r="B159" s="29"/>
      <c r="C159" s="35"/>
      <c r="D159" s="35"/>
      <c r="E159" s="35"/>
      <c r="F159" s="103"/>
      <c r="G159" s="322" t="s">
        <v>520</v>
      </c>
      <c r="H159" s="42"/>
      <c r="I159" s="41"/>
      <c r="J159" s="59" t="s">
        <v>456</v>
      </c>
      <c r="K159" s="243">
        <v>1</v>
      </c>
      <c r="L159" s="233"/>
      <c r="M159" s="93"/>
      <c r="N159" s="59">
        <v>1</v>
      </c>
      <c r="O159" s="47" t="str">
        <f t="shared" si="36"/>
        <v/>
      </c>
      <c r="P159" s="48"/>
      <c r="Q159" s="98"/>
      <c r="R159" s="245"/>
      <c r="S159" s="213"/>
      <c r="T159" s="213"/>
      <c r="U159" s="213"/>
      <c r="V159" s="213"/>
    </row>
    <row r="160" ht="15.75" spans="1:22">
      <c r="A160" s="12">
        <v>177</v>
      </c>
      <c r="B160" s="30"/>
      <c r="C160" s="35"/>
      <c r="D160" s="35"/>
      <c r="E160" s="35" t="s">
        <v>68</v>
      </c>
      <c r="F160" s="29" t="s">
        <v>521</v>
      </c>
      <c r="G160" s="30"/>
      <c r="H160" s="36">
        <v>1.5</v>
      </c>
      <c r="I160" s="37"/>
      <c r="J160" s="36"/>
      <c r="K160" s="36"/>
      <c r="L160" s="216"/>
      <c r="M160" s="55"/>
      <c r="N160" s="36"/>
      <c r="O160" s="36">
        <f>AVERAGE(O161)*H160</f>
        <v>1.5</v>
      </c>
      <c r="P160" s="38">
        <f>O160/H160</f>
        <v>1</v>
      </c>
      <c r="Q160" s="81"/>
      <c r="R160" s="246"/>
      <c r="S160" s="39"/>
      <c r="T160" s="39"/>
      <c r="U160" s="39"/>
      <c r="V160" s="39"/>
    </row>
    <row r="161" ht="252" spans="1:22">
      <c r="A161" s="12">
        <v>178</v>
      </c>
      <c r="B161" s="29"/>
      <c r="C161" s="35"/>
      <c r="D161" s="35"/>
      <c r="E161" s="35"/>
      <c r="F161" s="321" t="s">
        <v>34</v>
      </c>
      <c r="G161" s="322" t="s">
        <v>522</v>
      </c>
      <c r="H161" s="42"/>
      <c r="I161" s="51" t="s">
        <v>523</v>
      </c>
      <c r="J161" s="59" t="s">
        <v>87</v>
      </c>
      <c r="K161" s="210" t="s">
        <v>65</v>
      </c>
      <c r="L161" s="213"/>
      <c r="M161" s="51" t="s">
        <v>524</v>
      </c>
      <c r="N161" s="44" t="s">
        <v>65</v>
      </c>
      <c r="O161" s="47">
        <f>IF(J161="Ya/Tidak",IF(N161="Ya",1,IF(N161="Tidak",0,"Blm Diisi")),IF(J161="A/B/C",IF(N161="A",1,IF(N161="B",0.5,IF(N161="C",0,"Blm Diisi"))),IF(J161="A/B/C/D",IF(N161="A",1,IF(N161="B",0.67,IF(N161="C",0.33,IF(N161="D",0,"Blm Diisi")))),IF(J161="A/B/C/D/E",IF(N161="A",1,IF(N161="B",0.75,IF(N161="C",0.5,IF(N161="D",0.25,IF(N161="E",0,"Blm Diisi"))))),IF(J161="%",IF(N161="","Blm Diisi",N161),IF(J161="Jumlah",IF(N161="","Blm Diisi",""),IF(J161="Rupiah",IF(N161="","Blm Diisi",""),IF(J161="","","-"))))))))</f>
        <v>1</v>
      </c>
      <c r="P161" s="48"/>
      <c r="Q161" s="98"/>
      <c r="R161" s="242" t="s">
        <v>522</v>
      </c>
      <c r="S161" s="213"/>
      <c r="T161" s="213"/>
      <c r="U161" s="213"/>
      <c r="V161" s="213"/>
    </row>
    <row r="162" ht="15.75" spans="1:22">
      <c r="A162" s="12">
        <v>179</v>
      </c>
      <c r="B162" s="30"/>
      <c r="C162" s="35"/>
      <c r="D162" s="35"/>
      <c r="E162" s="35" t="s">
        <v>83</v>
      </c>
      <c r="F162" s="29" t="s">
        <v>525</v>
      </c>
      <c r="G162" s="30"/>
      <c r="H162" s="36">
        <v>1.5</v>
      </c>
      <c r="I162" s="37"/>
      <c r="J162" s="36"/>
      <c r="K162" s="36"/>
      <c r="L162" s="216"/>
      <c r="M162" s="100"/>
      <c r="N162" s="36"/>
      <c r="O162" s="36">
        <f>AVERAGE(O163)*H162</f>
        <v>1.5</v>
      </c>
      <c r="P162" s="38">
        <f>O162/H162</f>
        <v>1</v>
      </c>
      <c r="Q162" s="81"/>
      <c r="R162" s="246"/>
      <c r="S162" s="39"/>
      <c r="T162" s="39"/>
      <c r="U162" s="39"/>
      <c r="V162" s="39"/>
    </row>
    <row r="163" ht="283.5" spans="1:22">
      <c r="A163" s="12">
        <v>180</v>
      </c>
      <c r="B163" s="29"/>
      <c r="C163" s="35"/>
      <c r="D163" s="35"/>
      <c r="E163" s="35"/>
      <c r="F163" s="321" t="s">
        <v>34</v>
      </c>
      <c r="G163" s="322" t="s">
        <v>526</v>
      </c>
      <c r="H163" s="42"/>
      <c r="I163" s="51" t="s">
        <v>527</v>
      </c>
      <c r="J163" s="59" t="s">
        <v>87</v>
      </c>
      <c r="K163" s="210" t="s">
        <v>65</v>
      </c>
      <c r="L163" s="213"/>
      <c r="M163" s="51" t="s">
        <v>528</v>
      </c>
      <c r="N163" s="44" t="s">
        <v>65</v>
      </c>
      <c r="O163" s="47">
        <f>IF(J163="Ya/Tidak",IF(N163="Ya",1,IF(N163="Tidak",0,"Blm Diisi")),IF(J163="A/B/C",IF(N163="A",1,IF(N163="B",0.5,IF(N163="C",0,"Blm Diisi"))),IF(J163="A/B/C/D",IF(N163="A",1,IF(N163="B",0.67,IF(N163="C",0.33,IF(N163="D",0,"Blm Diisi")))),IF(J163="A/B/C/D/E",IF(N163="A",1,IF(N163="B",0.75,IF(N163="C",0.5,IF(N163="D",0.25,IF(N163="E",0,"Blm Diisi"))))),IF(J163="%",IF(N163="","Blm Diisi",N163),IF(J163="Jumlah",IF(N163="","Blm Diisi",""),IF(J163="Rupiah",IF(N163="","Blm Diisi",""),IF(J163="","","-"))))))))</f>
        <v>1</v>
      </c>
      <c r="P163" s="48"/>
      <c r="Q163" s="98"/>
      <c r="R163" s="242" t="s">
        <v>526</v>
      </c>
      <c r="S163" s="213"/>
      <c r="T163" s="213"/>
      <c r="U163" s="213"/>
      <c r="V163" s="213"/>
    </row>
    <row r="164" ht="15.75" spans="1:22">
      <c r="A164" s="12">
        <v>182</v>
      </c>
      <c r="B164" s="26"/>
      <c r="C164" s="27"/>
      <c r="D164" s="28" t="s">
        <v>19</v>
      </c>
      <c r="E164" s="29" t="s">
        <v>20</v>
      </c>
      <c r="F164" s="29"/>
      <c r="G164" s="30"/>
      <c r="H164" s="31">
        <v>7.5</v>
      </c>
      <c r="I164" s="32"/>
      <c r="J164" s="31"/>
      <c r="K164" s="31"/>
      <c r="L164" s="216"/>
      <c r="M164" s="100"/>
      <c r="N164" s="31"/>
      <c r="O164" s="31">
        <f>SUM(O165,O167,O172)</f>
        <v>7.5</v>
      </c>
      <c r="P164" s="33">
        <f t="shared" ref="P164:P165" si="37">O164/H164</f>
        <v>1</v>
      </c>
      <c r="Q164" s="96"/>
      <c r="R164" s="248"/>
      <c r="S164" s="34"/>
      <c r="T164" s="34"/>
      <c r="U164" s="34"/>
      <c r="V164" s="34"/>
    </row>
    <row r="165" ht="15.75" spans="1:22">
      <c r="A165" s="12">
        <v>184</v>
      </c>
      <c r="B165" s="30"/>
      <c r="C165" s="35"/>
      <c r="D165" s="35"/>
      <c r="E165" s="35" t="s">
        <v>52</v>
      </c>
      <c r="F165" s="29" t="s">
        <v>529</v>
      </c>
      <c r="G165" s="30"/>
      <c r="H165" s="36">
        <v>2.5</v>
      </c>
      <c r="I165" s="104"/>
      <c r="J165" s="36"/>
      <c r="K165" s="36"/>
      <c r="L165" s="216"/>
      <c r="M165" s="100"/>
      <c r="N165" s="36"/>
      <c r="O165" s="36">
        <f>AVERAGE(O166)*H165</f>
        <v>2.5</v>
      </c>
      <c r="P165" s="38">
        <f t="shared" si="37"/>
        <v>1</v>
      </c>
      <c r="Q165" s="81"/>
      <c r="R165" s="246"/>
      <c r="S165" s="39"/>
      <c r="T165" s="39"/>
      <c r="U165" s="39"/>
      <c r="V165" s="39"/>
    </row>
    <row r="166" ht="409.5" spans="1:22">
      <c r="A166" s="12"/>
      <c r="B166" s="41"/>
      <c r="C166" s="40"/>
      <c r="D166" s="40"/>
      <c r="E166" s="40"/>
      <c r="F166" s="321" t="s">
        <v>34</v>
      </c>
      <c r="G166" s="51" t="s">
        <v>530</v>
      </c>
      <c r="H166" s="42"/>
      <c r="I166" s="104" t="s">
        <v>531</v>
      </c>
      <c r="J166" s="59" t="s">
        <v>124</v>
      </c>
      <c r="K166" s="210" t="s">
        <v>65</v>
      </c>
      <c r="L166" s="213"/>
      <c r="M166" s="104" t="s">
        <v>532</v>
      </c>
      <c r="N166" s="44" t="s">
        <v>65</v>
      </c>
      <c r="O166" s="47">
        <f>IF(J166="Ya/Tidak",IF(N166="Ya",1,IF(N166="Tidak",0,"Blm Diisi")),IF(J166="A/B/C",IF(N166="A",1,IF(N166="B",0.5,IF(N166="C",0,"Blm Diisi"))),IF(J166="A/B/C/D",IF(N166="A",1,IF(N166="B",0.67,IF(N166="C",0.33,IF(N166="D",0,"Blm Diisi")))),IF(J166="A/B/C/D/E",IF(N166="A",1,IF(N166="B",0.75,IF(N166="C",0.5,IF(N166="D",0.25,IF(N166="E",0,"Blm Diisi"))))),IF(J166="%",IF(N166="","Blm Diisi",N166),IF(J166="Jumlah",IF(N166="","Blm Diisi",""),IF(J166="Rupiah",IF(N166="","Blm Diisi",""),IF(J166="","","-"))))))))</f>
        <v>1</v>
      </c>
      <c r="P166" s="105"/>
      <c r="Q166" s="251"/>
      <c r="R166" s="250" t="s">
        <v>530</v>
      </c>
      <c r="S166" s="226"/>
      <c r="T166" s="226"/>
      <c r="U166" s="226"/>
      <c r="V166" s="226"/>
    </row>
    <row r="167" ht="160.5" customHeight="1" spans="1:22">
      <c r="A167" s="12">
        <v>197</v>
      </c>
      <c r="B167" s="30"/>
      <c r="C167" s="35"/>
      <c r="D167" s="35"/>
      <c r="E167" s="35" t="s">
        <v>68</v>
      </c>
      <c r="F167" s="29" t="s">
        <v>533</v>
      </c>
      <c r="G167" s="30"/>
      <c r="H167" s="36">
        <v>3</v>
      </c>
      <c r="I167" s="104"/>
      <c r="J167" s="36" t="s">
        <v>452</v>
      </c>
      <c r="K167" s="36"/>
      <c r="L167" s="216"/>
      <c r="M167" s="104" t="s">
        <v>534</v>
      </c>
      <c r="N167" s="36"/>
      <c r="O167" s="36">
        <f>AVERAGE(O168:O171)*H167</f>
        <v>3</v>
      </c>
      <c r="P167" s="38">
        <f>O167/H167</f>
        <v>1</v>
      </c>
      <c r="Q167" s="81"/>
      <c r="R167" s="242" t="s">
        <v>535</v>
      </c>
      <c r="S167" s="39"/>
      <c r="T167" s="39"/>
      <c r="U167" s="39"/>
      <c r="V167" s="39"/>
    </row>
    <row r="168" ht="47.25" spans="1:22">
      <c r="A168" s="12"/>
      <c r="B168" s="41"/>
      <c r="C168" s="40"/>
      <c r="D168" s="40"/>
      <c r="E168" s="40"/>
      <c r="F168" s="321" t="s">
        <v>34</v>
      </c>
      <c r="G168" s="51" t="s">
        <v>536</v>
      </c>
      <c r="H168" s="42"/>
      <c r="I168" s="104" t="s">
        <v>537</v>
      </c>
      <c r="J168" s="42" t="s">
        <v>452</v>
      </c>
      <c r="K168" s="97">
        <f>IF(OR(K169="",K171=""),"#DIV/0!",IF(AND(K169=0,K171=0),"100%",IF(K169&lt;K171,"100%",K171/K169)))</f>
        <v>1</v>
      </c>
      <c r="L168" s="51"/>
      <c r="M168" s="107"/>
      <c r="N168" s="97">
        <f>IF(OR(N169="",N171=""),"#DIV/0!",IF(AND(N169=0,N171=0),"100%",IF(N169&lt;N171,"100%",N171/N169)))</f>
        <v>1</v>
      </c>
      <c r="O168" s="47">
        <f t="shared" ref="O168:O171" si="38">IF(J168="Ya/Tidak",IF(N168="Ya",1,IF(N168="Tidak",0,"Blm Diisi")),IF(J168="A/B/C",IF(N168="A",1,IF(N168="B",0.5,IF(N168="C",0,"Blm Diisi"))),IF(J168="A/B/C/D",IF(N168="A",1,IF(N168="B",0.67,IF(N168="C",0.33,IF(N168="D",0,"Blm Diisi")))),IF(J168="A/B/C/D/E",IF(N168="A",1,IF(N168="B",0.75,IF(N168="C",0.5,IF(N168="D",0.25,IF(N168="E",0,"Blm Diisi"))))),IF(J168="%",IF(N168="","Blm Diisi",N168),IF(J168="Jumlah",IF(N168="","Blm Diisi",""),IF(J168="Rupiah",IF(N168="","Blm Diisi",""),IF(J168="","","-"))))))))</f>
        <v>1</v>
      </c>
      <c r="P168" s="105"/>
      <c r="Q168" s="108"/>
      <c r="R168" s="252"/>
      <c r="S168" s="253"/>
      <c r="T168" s="253"/>
      <c r="U168" s="253"/>
      <c r="V168" s="253"/>
    </row>
    <row r="169" ht="15.75" spans="1:22">
      <c r="A169" s="12">
        <v>199</v>
      </c>
      <c r="B169" s="29"/>
      <c r="C169" s="35"/>
      <c r="D169" s="35"/>
      <c r="E169" s="35"/>
      <c r="F169" s="40"/>
      <c r="G169" s="322" t="s">
        <v>538</v>
      </c>
      <c r="H169" s="42"/>
      <c r="I169" s="41"/>
      <c r="J169" s="59" t="s">
        <v>456</v>
      </c>
      <c r="K169" s="243">
        <v>1</v>
      </c>
      <c r="L169" s="233"/>
      <c r="M169" s="93"/>
      <c r="N169" s="59">
        <v>1</v>
      </c>
      <c r="O169" s="47" t="str">
        <f t="shared" si="38"/>
        <v/>
      </c>
      <c r="P169" s="48"/>
      <c r="Q169" s="98"/>
      <c r="R169" s="245"/>
      <c r="S169" s="213"/>
      <c r="T169" s="213"/>
      <c r="U169" s="213"/>
      <c r="V169" s="213"/>
    </row>
    <row r="170" ht="15.75" spans="1:22">
      <c r="A170" s="12">
        <v>200</v>
      </c>
      <c r="B170" s="29"/>
      <c r="C170" s="35"/>
      <c r="D170" s="35"/>
      <c r="E170" s="35"/>
      <c r="F170" s="40"/>
      <c r="G170" s="322" t="s">
        <v>539</v>
      </c>
      <c r="H170" s="42"/>
      <c r="I170" s="41"/>
      <c r="J170" s="59" t="s">
        <v>456</v>
      </c>
      <c r="K170" s="243">
        <v>1</v>
      </c>
      <c r="L170" s="233"/>
      <c r="M170" s="93"/>
      <c r="N170" s="59">
        <v>1</v>
      </c>
      <c r="O170" s="47" t="str">
        <f t="shared" si="38"/>
        <v/>
      </c>
      <c r="P170" s="48"/>
      <c r="Q170" s="98"/>
      <c r="R170" s="245"/>
      <c r="S170" s="213"/>
      <c r="T170" s="213"/>
      <c r="U170" s="213"/>
      <c r="V170" s="213"/>
    </row>
    <row r="171" ht="15.75" spans="1:22">
      <c r="A171" s="12">
        <v>201</v>
      </c>
      <c r="B171" s="29"/>
      <c r="C171" s="35"/>
      <c r="D171" s="35"/>
      <c r="E171" s="35"/>
      <c r="F171" s="40"/>
      <c r="G171" s="322" t="s">
        <v>540</v>
      </c>
      <c r="H171" s="42"/>
      <c r="I171" s="41"/>
      <c r="J171" s="59" t="s">
        <v>456</v>
      </c>
      <c r="K171" s="243">
        <v>1</v>
      </c>
      <c r="L171" s="233"/>
      <c r="N171" s="59">
        <v>1</v>
      </c>
      <c r="O171" s="47" t="str">
        <f t="shared" si="38"/>
        <v/>
      </c>
      <c r="P171" s="48"/>
      <c r="Q171" s="98"/>
      <c r="R171" s="245"/>
      <c r="S171" s="213"/>
      <c r="T171" s="213"/>
      <c r="U171" s="213"/>
      <c r="V171" s="213"/>
    </row>
    <row r="172" ht="180" customHeight="1" spans="1:22">
      <c r="A172" s="12">
        <v>197</v>
      </c>
      <c r="B172" s="30"/>
      <c r="C172" s="35"/>
      <c r="D172" s="35"/>
      <c r="E172" s="35" t="s">
        <v>83</v>
      </c>
      <c r="F172" s="29" t="s">
        <v>541</v>
      </c>
      <c r="G172" s="30"/>
      <c r="H172" s="36">
        <v>2</v>
      </c>
      <c r="I172" s="104" t="s">
        <v>542</v>
      </c>
      <c r="J172" s="36" t="s">
        <v>452</v>
      </c>
      <c r="K172" s="36"/>
      <c r="L172" s="216"/>
      <c r="M172" s="109" t="s">
        <v>543</v>
      </c>
      <c r="N172" s="36"/>
      <c r="O172" s="36">
        <f>AVERAGE(O173:O180)*H172</f>
        <v>2</v>
      </c>
      <c r="P172" s="38">
        <f>O172/H172</f>
        <v>1</v>
      </c>
      <c r="Q172" s="78"/>
      <c r="R172" s="254"/>
      <c r="S172" s="39"/>
      <c r="T172" s="39"/>
      <c r="U172" s="39"/>
      <c r="V172" s="39"/>
    </row>
    <row r="173" ht="15.75" spans="1:22">
      <c r="A173" s="110">
        <v>359</v>
      </c>
      <c r="B173" s="111"/>
      <c r="C173" s="112"/>
      <c r="D173" s="112"/>
      <c r="E173" s="112" t="s">
        <v>54</v>
      </c>
      <c r="F173" s="113" t="s">
        <v>544</v>
      </c>
      <c r="G173" s="7"/>
      <c r="H173" s="114">
        <v>1</v>
      </c>
      <c r="I173" s="115"/>
      <c r="J173" s="114"/>
      <c r="K173" s="114"/>
      <c r="L173" s="216"/>
      <c r="M173" s="55"/>
      <c r="N173" s="114"/>
      <c r="O173" s="114">
        <f>AVERAGE(O174:O179)*H173</f>
        <v>1</v>
      </c>
      <c r="P173" s="114"/>
      <c r="Q173" s="116"/>
      <c r="R173" s="255"/>
      <c r="S173" s="256"/>
      <c r="T173" s="256"/>
      <c r="U173" s="256"/>
      <c r="V173" s="256"/>
    </row>
    <row r="174" ht="132" customHeight="1" spans="1:22">
      <c r="A174" s="110">
        <v>360</v>
      </c>
      <c r="B174" s="117"/>
      <c r="C174" s="118"/>
      <c r="D174" s="118"/>
      <c r="E174" s="118"/>
      <c r="F174" s="323" t="s">
        <v>34</v>
      </c>
      <c r="G174" s="120" t="s">
        <v>545</v>
      </c>
      <c r="H174" s="121"/>
      <c r="I174" s="122"/>
      <c r="J174" s="121" t="s">
        <v>452</v>
      </c>
      <c r="K174" s="123">
        <f>K179/K175</f>
        <v>1</v>
      </c>
      <c r="L174" s="54"/>
      <c r="M174" s="122" t="s">
        <v>546</v>
      </c>
      <c r="N174" s="123">
        <f>N179/N175</f>
        <v>1</v>
      </c>
      <c r="O174" s="114">
        <f t="shared" ref="O174:O179" si="39">IF(J174="Ya/Tidak",IF(N174="Ya",1,IF(N174="Tidak",0,"Blm Diisi")),IF(J174="A/B/C",IF(N174="A",1,IF(N174="B",0.5,IF(N174="C",0,"Blm Diisi"))),IF(J174="A/B/C/D",IF(N174="A",1,IF(N174="B",0.67,IF(N174="C",0.33,IF(N174="D",0,"Blm Diisi")))),IF(J174="A/B/C/D/E",IF(N174="A",1,IF(N174="B",0.75,IF(N174="C",0.5,IF(N174="D",0.25,IF(N174="E",0,"Blm Diisi"))))),IF(J174="%",IF(N174="","Blm Diisi",N174),IF(J174="Jumlah",IF(N174="","Blm Diisi",""),IF(J174="Rupiah",IF(N174="","Blm Diisi",""),IF(J174="","","-"))))))))</f>
        <v>1</v>
      </c>
      <c r="P174" s="114"/>
      <c r="Q174" s="124"/>
      <c r="R174" s="257" t="s">
        <v>547</v>
      </c>
      <c r="S174" s="256"/>
      <c r="T174" s="256"/>
      <c r="U174" s="256"/>
      <c r="V174" s="256"/>
    </row>
    <row r="175" ht="15.75" spans="1:22">
      <c r="A175" s="110">
        <v>361</v>
      </c>
      <c r="B175" s="117"/>
      <c r="C175" s="118"/>
      <c r="D175" s="118"/>
      <c r="E175" s="118"/>
      <c r="F175" s="125" t="s">
        <v>34</v>
      </c>
      <c r="G175" s="120" t="s">
        <v>548</v>
      </c>
      <c r="H175" s="121"/>
      <c r="I175" s="122"/>
      <c r="J175" s="121" t="s">
        <v>456</v>
      </c>
      <c r="K175" s="258">
        <f>SUM(K176:K178)</f>
        <v>3</v>
      </c>
      <c r="L175" s="233"/>
      <c r="M175" s="55"/>
      <c r="N175" s="121">
        <f>SUM(N176:N178)</f>
        <v>3</v>
      </c>
      <c r="O175" s="114" t="str">
        <f t="shared" si="39"/>
        <v/>
      </c>
      <c r="P175" s="114"/>
      <c r="Q175" s="116"/>
      <c r="R175" s="255"/>
      <c r="S175" s="259"/>
      <c r="T175" s="259"/>
      <c r="U175" s="259"/>
      <c r="V175" s="259"/>
    </row>
    <row r="176" ht="15.75" spans="1:22">
      <c r="A176" s="110">
        <v>362</v>
      </c>
      <c r="B176" s="117"/>
      <c r="C176" s="118"/>
      <c r="D176" s="118"/>
      <c r="E176" s="118"/>
      <c r="F176" s="119"/>
      <c r="G176" s="324" t="s">
        <v>549</v>
      </c>
      <c r="H176" s="121"/>
      <c r="I176" s="122"/>
      <c r="J176" s="121" t="s">
        <v>456</v>
      </c>
      <c r="K176" s="258">
        <v>1</v>
      </c>
      <c r="L176" s="233"/>
      <c r="M176" s="55"/>
      <c r="N176" s="121">
        <v>1</v>
      </c>
      <c r="O176" s="114" t="str">
        <f t="shared" si="39"/>
        <v/>
      </c>
      <c r="P176" s="114"/>
      <c r="Q176" s="116"/>
      <c r="R176" s="255"/>
      <c r="S176" s="259"/>
      <c r="T176" s="259"/>
      <c r="U176" s="259"/>
      <c r="V176" s="259"/>
    </row>
    <row r="177" ht="15.75" spans="1:22">
      <c r="A177" s="110">
        <v>363</v>
      </c>
      <c r="B177" s="117"/>
      <c r="C177" s="118"/>
      <c r="D177" s="118"/>
      <c r="E177" s="118"/>
      <c r="F177" s="119"/>
      <c r="G177" s="324" t="s">
        <v>550</v>
      </c>
      <c r="H177" s="121"/>
      <c r="I177" s="122"/>
      <c r="J177" s="121" t="s">
        <v>456</v>
      </c>
      <c r="K177" s="258">
        <v>1</v>
      </c>
      <c r="L177" s="233"/>
      <c r="M177" s="55"/>
      <c r="N177" s="121">
        <v>1</v>
      </c>
      <c r="O177" s="114" t="str">
        <f t="shared" si="39"/>
        <v/>
      </c>
      <c r="P177" s="114"/>
      <c r="Q177" s="116"/>
      <c r="R177" s="255"/>
      <c r="S177" s="259"/>
      <c r="T177" s="259"/>
      <c r="U177" s="259"/>
      <c r="V177" s="259"/>
    </row>
    <row r="178" ht="15.75" spans="1:22">
      <c r="A178" s="110">
        <v>364</v>
      </c>
      <c r="B178" s="117"/>
      <c r="C178" s="118"/>
      <c r="D178" s="118"/>
      <c r="E178" s="118"/>
      <c r="F178" s="125"/>
      <c r="G178" s="324" t="s">
        <v>551</v>
      </c>
      <c r="H178" s="121"/>
      <c r="I178" s="122"/>
      <c r="J178" s="121" t="s">
        <v>456</v>
      </c>
      <c r="K178" s="258">
        <v>1</v>
      </c>
      <c r="L178" s="233"/>
      <c r="M178" s="55"/>
      <c r="N178" s="121">
        <v>1</v>
      </c>
      <c r="O178" s="114" t="str">
        <f t="shared" si="39"/>
        <v/>
      </c>
      <c r="P178" s="114"/>
      <c r="Q178" s="116"/>
      <c r="R178" s="255"/>
      <c r="S178" s="259"/>
      <c r="T178" s="259"/>
      <c r="U178" s="259"/>
      <c r="V178" s="259"/>
    </row>
    <row r="179" ht="15.75" spans="1:22">
      <c r="A179" s="110">
        <v>365</v>
      </c>
      <c r="B179" s="117"/>
      <c r="C179" s="118"/>
      <c r="D179" s="118"/>
      <c r="E179" s="118"/>
      <c r="F179" s="325" t="s">
        <v>34</v>
      </c>
      <c r="G179" s="120" t="s">
        <v>552</v>
      </c>
      <c r="H179" s="121"/>
      <c r="I179" s="122"/>
      <c r="J179" s="121" t="s">
        <v>456</v>
      </c>
      <c r="K179" s="258">
        <v>3</v>
      </c>
      <c r="L179" s="233"/>
      <c r="M179" s="55"/>
      <c r="N179" s="121">
        <v>3</v>
      </c>
      <c r="O179" s="114" t="str">
        <f t="shared" si="39"/>
        <v/>
      </c>
      <c r="P179" s="114"/>
      <c r="Q179" s="116"/>
      <c r="R179" s="255"/>
      <c r="S179" s="259"/>
      <c r="T179" s="259"/>
      <c r="U179" s="259"/>
      <c r="V179" s="259"/>
    </row>
    <row r="180" ht="133.5" customHeight="1" spans="1:22">
      <c r="A180" s="110">
        <v>366</v>
      </c>
      <c r="B180" s="111"/>
      <c r="C180" s="112"/>
      <c r="D180" s="112"/>
      <c r="E180" s="112" t="s">
        <v>61</v>
      </c>
      <c r="F180" s="113" t="s">
        <v>553</v>
      </c>
      <c r="G180" s="128"/>
      <c r="H180" s="121">
        <v>1</v>
      </c>
      <c r="I180" s="122"/>
      <c r="J180" s="121"/>
      <c r="K180" s="121"/>
      <c r="L180" s="216"/>
      <c r="M180" s="122" t="s">
        <v>554</v>
      </c>
      <c r="N180" s="121"/>
      <c r="O180" s="114">
        <f>AVERAGE(O181:O186)*H180</f>
        <v>1</v>
      </c>
      <c r="P180" s="114"/>
      <c r="Q180" s="116"/>
      <c r="R180" s="260" t="s">
        <v>555</v>
      </c>
      <c r="S180" s="259"/>
      <c r="T180" s="259"/>
      <c r="U180" s="259"/>
      <c r="V180" s="259"/>
    </row>
    <row r="181" ht="15.75" spans="1:22">
      <c r="A181" s="110">
        <v>367</v>
      </c>
      <c r="B181" s="117"/>
      <c r="C181" s="118"/>
      <c r="D181" s="118"/>
      <c r="E181" s="118"/>
      <c r="F181" s="323" t="s">
        <v>34</v>
      </c>
      <c r="G181" s="120" t="s">
        <v>556</v>
      </c>
      <c r="H181" s="121"/>
      <c r="I181" s="122"/>
      <c r="J181" s="121" t="s">
        <v>452</v>
      </c>
      <c r="K181" s="123">
        <f>K186/K182</f>
        <v>1</v>
      </c>
      <c r="L181" s="54"/>
      <c r="M181" s="129"/>
      <c r="N181" s="123">
        <f>N186/N182</f>
        <v>1</v>
      </c>
      <c r="O181" s="114">
        <f t="shared" ref="O181:O186" si="40">IF(J181="Ya/Tidak",IF(N181="Ya",1,IF(N181="Tidak",0,"Blm Diisi")),IF(J181="A/B/C",IF(N181="A",1,IF(N181="B",0.5,IF(N181="C",0,"Blm Diisi"))),IF(J181="A/B/C/D",IF(N181="A",1,IF(N181="B",0.67,IF(N181="C",0.33,IF(N181="D",0,"Blm Diisi")))),IF(J181="A/B/C/D/E",IF(N181="A",1,IF(N181="B",0.75,IF(N181="C",0.5,IF(N181="D",0.25,IF(N181="E",0,"Blm Diisi"))))),IF(J181="%",IF(N181="","Blm Diisi",N181),IF(J181="Jumlah",IF(N181="","Blm Diisi",""),IF(J181="Rupiah",IF(N181="","Blm Diisi",""),IF(J181="","","-"))))))))</f>
        <v>1</v>
      </c>
      <c r="P181" s="114"/>
      <c r="Q181" s="124"/>
      <c r="R181" s="255"/>
      <c r="S181" s="256"/>
      <c r="T181" s="256"/>
      <c r="U181" s="256"/>
      <c r="V181" s="256"/>
    </row>
    <row r="182" ht="15.75" spans="1:22">
      <c r="A182" s="110">
        <v>368</v>
      </c>
      <c r="B182" s="117"/>
      <c r="C182" s="118"/>
      <c r="D182" s="118"/>
      <c r="E182" s="118"/>
      <c r="F182" s="125" t="s">
        <v>34</v>
      </c>
      <c r="G182" s="120" t="s">
        <v>557</v>
      </c>
      <c r="H182" s="121"/>
      <c r="I182" s="122"/>
      <c r="J182" s="121" t="s">
        <v>456</v>
      </c>
      <c r="K182" s="258">
        <v>3</v>
      </c>
      <c r="L182" s="233"/>
      <c r="M182" s="100"/>
      <c r="N182" s="121">
        <v>3</v>
      </c>
      <c r="O182" s="114" t="str">
        <f t="shared" si="40"/>
        <v/>
      </c>
      <c r="P182" s="114"/>
      <c r="Q182" s="124"/>
      <c r="R182" s="255"/>
      <c r="S182" s="259"/>
      <c r="T182" s="259"/>
      <c r="U182" s="259"/>
      <c r="V182" s="259"/>
    </row>
    <row r="183" ht="15.75" spans="1:22">
      <c r="A183" s="110">
        <v>369</v>
      </c>
      <c r="B183" s="117"/>
      <c r="C183" s="118"/>
      <c r="D183" s="118"/>
      <c r="E183" s="118"/>
      <c r="F183" s="119"/>
      <c r="G183" s="324" t="s">
        <v>558</v>
      </c>
      <c r="H183" s="121"/>
      <c r="I183" s="122"/>
      <c r="J183" s="121" t="s">
        <v>456</v>
      </c>
      <c r="K183" s="258">
        <v>1</v>
      </c>
      <c r="L183" s="233"/>
      <c r="M183" s="100"/>
      <c r="N183" s="121">
        <v>1</v>
      </c>
      <c r="O183" s="114" t="str">
        <f t="shared" si="40"/>
        <v/>
      </c>
      <c r="P183" s="114"/>
      <c r="Q183" s="124"/>
      <c r="R183" s="255"/>
      <c r="S183" s="259"/>
      <c r="T183" s="259"/>
      <c r="U183" s="259"/>
      <c r="V183" s="259"/>
    </row>
    <row r="184" ht="15.75" spans="1:22">
      <c r="A184" s="110">
        <v>370</v>
      </c>
      <c r="B184" s="117"/>
      <c r="C184" s="118"/>
      <c r="D184" s="118"/>
      <c r="E184" s="118"/>
      <c r="F184" s="119"/>
      <c r="G184" s="324" t="s">
        <v>559</v>
      </c>
      <c r="H184" s="121"/>
      <c r="I184" s="122"/>
      <c r="J184" s="121" t="s">
        <v>456</v>
      </c>
      <c r="K184" s="258">
        <v>1</v>
      </c>
      <c r="L184" s="233"/>
      <c r="M184" s="55"/>
      <c r="N184" s="121">
        <v>1</v>
      </c>
      <c r="O184" s="114" t="str">
        <f t="shared" si="40"/>
        <v/>
      </c>
      <c r="P184" s="114"/>
      <c r="Q184" s="116"/>
      <c r="R184" s="255"/>
      <c r="S184" s="259"/>
      <c r="T184" s="259"/>
      <c r="U184" s="259"/>
      <c r="V184" s="259"/>
    </row>
    <row r="185" ht="15.75" spans="1:22">
      <c r="A185" s="110">
        <v>371</v>
      </c>
      <c r="B185" s="117"/>
      <c r="C185" s="118"/>
      <c r="D185" s="118"/>
      <c r="E185" s="118"/>
      <c r="F185" s="125"/>
      <c r="G185" s="324" t="s">
        <v>560</v>
      </c>
      <c r="H185" s="121"/>
      <c r="I185" s="122"/>
      <c r="J185" s="121" t="s">
        <v>456</v>
      </c>
      <c r="K185" s="258">
        <v>1</v>
      </c>
      <c r="L185" s="233"/>
      <c r="M185" s="55"/>
      <c r="N185" s="121">
        <v>1</v>
      </c>
      <c r="O185" s="114" t="str">
        <f t="shared" si="40"/>
        <v/>
      </c>
      <c r="P185" s="114"/>
      <c r="Q185" s="116"/>
      <c r="R185" s="255"/>
      <c r="S185" s="259"/>
      <c r="T185" s="259"/>
      <c r="U185" s="259"/>
      <c r="V185" s="259"/>
    </row>
    <row r="186" ht="15.75" spans="1:22">
      <c r="A186" s="110">
        <v>372</v>
      </c>
      <c r="B186" s="117"/>
      <c r="C186" s="118"/>
      <c r="D186" s="118"/>
      <c r="E186" s="118"/>
      <c r="F186" s="325" t="s">
        <v>34</v>
      </c>
      <c r="G186" s="120" t="s">
        <v>552</v>
      </c>
      <c r="H186" s="121"/>
      <c r="I186" s="122"/>
      <c r="J186" s="121" t="s">
        <v>456</v>
      </c>
      <c r="K186" s="258">
        <v>3</v>
      </c>
      <c r="L186" s="233"/>
      <c r="M186" s="55"/>
      <c r="N186" s="121">
        <v>3</v>
      </c>
      <c r="O186" s="114" t="str">
        <f t="shared" si="40"/>
        <v/>
      </c>
      <c r="P186" s="114"/>
      <c r="Q186" s="116"/>
      <c r="R186" s="255"/>
      <c r="S186" s="259"/>
      <c r="T186" s="259"/>
      <c r="U186" s="259"/>
      <c r="V186" s="259"/>
    </row>
    <row r="187" ht="15.75" spans="1:22">
      <c r="A187" s="12">
        <v>203</v>
      </c>
      <c r="B187" s="26"/>
      <c r="C187" s="27"/>
      <c r="D187" s="28" t="s">
        <v>21</v>
      </c>
      <c r="E187" s="29" t="s">
        <v>22</v>
      </c>
      <c r="F187" s="29"/>
      <c r="G187" s="30"/>
      <c r="H187" s="31">
        <v>5</v>
      </c>
      <c r="I187" s="32"/>
      <c r="J187" s="31"/>
      <c r="K187" s="31"/>
      <c r="L187" s="216"/>
      <c r="M187" s="55"/>
      <c r="N187" s="31"/>
      <c r="O187" s="31">
        <f>SUM(O188,O193)</f>
        <v>5</v>
      </c>
      <c r="P187" s="33">
        <f t="shared" ref="P187:P188" si="41">O187/H187</f>
        <v>1</v>
      </c>
      <c r="Q187" s="96"/>
      <c r="R187" s="248"/>
      <c r="S187" s="34"/>
      <c r="T187" s="34"/>
      <c r="U187" s="34"/>
      <c r="V187" s="34"/>
    </row>
    <row r="188" ht="15.75" spans="1:22">
      <c r="A188" s="12">
        <v>204</v>
      </c>
      <c r="B188" s="30"/>
      <c r="C188" s="35"/>
      <c r="D188" s="35"/>
      <c r="E188" s="326" t="s">
        <v>52</v>
      </c>
      <c r="F188" s="29" t="s">
        <v>561</v>
      </c>
      <c r="G188" s="30"/>
      <c r="H188" s="36">
        <v>2.5</v>
      </c>
      <c r="I188" s="37"/>
      <c r="J188" s="36"/>
      <c r="K188" s="36"/>
      <c r="L188" s="216"/>
      <c r="M188" s="55"/>
      <c r="N188" s="36"/>
      <c r="O188" s="36">
        <f>AVERAGE(O189:O192)*H188</f>
        <v>2.5</v>
      </c>
      <c r="P188" s="38">
        <f t="shared" si="41"/>
        <v>1</v>
      </c>
      <c r="Q188" s="81"/>
      <c r="R188" s="246"/>
      <c r="S188" s="39"/>
      <c r="T188" s="39"/>
      <c r="U188" s="39"/>
      <c r="V188" s="39"/>
    </row>
    <row r="189" ht="299.25" spans="1:22">
      <c r="A189" s="12">
        <v>205</v>
      </c>
      <c r="B189" s="29"/>
      <c r="C189" s="35"/>
      <c r="D189" s="35"/>
      <c r="E189" s="35"/>
      <c r="F189" s="321" t="s">
        <v>54</v>
      </c>
      <c r="G189" s="41" t="s">
        <v>562</v>
      </c>
      <c r="H189" s="42"/>
      <c r="I189" s="51" t="s">
        <v>563</v>
      </c>
      <c r="J189" s="59" t="s">
        <v>87</v>
      </c>
      <c r="K189" s="210" t="s">
        <v>65</v>
      </c>
      <c r="L189" s="213"/>
      <c r="M189" s="51" t="s">
        <v>564</v>
      </c>
      <c r="N189" s="44" t="s">
        <v>65</v>
      </c>
      <c r="O189" s="47">
        <f t="shared" ref="O189:O192" si="42">IF(J189="Ya/Tidak",IF(N189="Ya",1,IF(N189="Tidak",0,"Blm Diisi")),IF(J189="A/B/C",IF(N189="A",1,IF(N189="B",0.5,IF(N189="C",0,"Blm Diisi"))),IF(J189="A/B/C/D",IF(N189="A",1,IF(N189="B",0.67,IF(N189="C",0.33,IF(N189="D",0,"Blm Diisi")))),IF(J189="A/B/C/D/E",IF(N189="A",1,IF(N189="B",0.75,IF(N189="C",0.5,IF(N189="D",0.25,IF(N189="E",0,"Blm Diisi"))))),IF(J189="%",IF(N189="","Blm Diisi",N189),IF(J189="Jumlah",IF(N189="","Blm Diisi",""),IF(J189="Rupiah",IF(N189="","Blm Diisi",""),IF(J189="","","-"))))))))</f>
        <v>1</v>
      </c>
      <c r="P189" s="48"/>
      <c r="Q189" s="98"/>
      <c r="R189" s="242" t="s">
        <v>565</v>
      </c>
      <c r="S189" s="213"/>
      <c r="T189" s="213"/>
      <c r="U189" s="213"/>
      <c r="V189" s="213"/>
    </row>
    <row r="190" ht="299.25" spans="1:22">
      <c r="A190" s="12">
        <v>206</v>
      </c>
      <c r="B190" s="29"/>
      <c r="C190" s="35"/>
      <c r="D190" s="35"/>
      <c r="E190" s="35"/>
      <c r="F190" s="321" t="s">
        <v>61</v>
      </c>
      <c r="G190" s="322" t="s">
        <v>566</v>
      </c>
      <c r="H190" s="42"/>
      <c r="I190" s="41" t="s">
        <v>567</v>
      </c>
      <c r="J190" s="59" t="s">
        <v>452</v>
      </c>
      <c r="K190" s="97">
        <f>K192/K191</f>
        <v>1</v>
      </c>
      <c r="L190" s="216"/>
      <c r="M190" s="41" t="s">
        <v>568</v>
      </c>
      <c r="N190" s="97">
        <f>N192/N191</f>
        <v>1</v>
      </c>
      <c r="O190" s="47">
        <f t="shared" si="42"/>
        <v>1</v>
      </c>
      <c r="P190" s="48"/>
      <c r="Q190" s="94"/>
      <c r="R190" s="261" t="s">
        <v>569</v>
      </c>
      <c r="S190" s="51"/>
      <c r="T190" s="51"/>
      <c r="U190" s="51"/>
      <c r="V190" s="51"/>
    </row>
    <row r="191" ht="15.75" spans="1:22">
      <c r="A191" s="12">
        <v>207</v>
      </c>
      <c r="B191" s="29"/>
      <c r="C191" s="35"/>
      <c r="D191" s="35"/>
      <c r="E191" s="35"/>
      <c r="F191" s="40"/>
      <c r="G191" s="322" t="s">
        <v>570</v>
      </c>
      <c r="H191" s="42"/>
      <c r="I191" s="41"/>
      <c r="J191" s="59" t="s">
        <v>456</v>
      </c>
      <c r="K191" s="243">
        <v>1</v>
      </c>
      <c r="L191" s="213"/>
      <c r="M191" s="58"/>
      <c r="N191" s="59">
        <v>1</v>
      </c>
      <c r="O191" s="47" t="str">
        <f t="shared" si="42"/>
        <v/>
      </c>
      <c r="P191" s="48"/>
      <c r="Q191" s="98"/>
      <c r="R191" s="245"/>
      <c r="S191" s="213"/>
      <c r="T191" s="213"/>
      <c r="U191" s="213"/>
      <c r="V191" s="213"/>
    </row>
    <row r="192" ht="15.75" spans="1:22">
      <c r="A192" s="12">
        <v>208</v>
      </c>
      <c r="B192" s="29"/>
      <c r="C192" s="35"/>
      <c r="D192" s="35"/>
      <c r="E192" s="35"/>
      <c r="F192" s="40"/>
      <c r="G192" s="322" t="s">
        <v>571</v>
      </c>
      <c r="H192" s="42"/>
      <c r="I192" s="41"/>
      <c r="J192" s="59" t="s">
        <v>456</v>
      </c>
      <c r="K192" s="243">
        <v>1</v>
      </c>
      <c r="L192" s="213"/>
      <c r="M192" s="58"/>
      <c r="N192" s="59">
        <v>1</v>
      </c>
      <c r="O192" s="47" t="str">
        <f t="shared" si="42"/>
        <v/>
      </c>
      <c r="P192" s="48"/>
      <c r="Q192" s="98"/>
      <c r="R192" s="245"/>
      <c r="S192" s="213"/>
      <c r="T192" s="213"/>
      <c r="U192" s="213"/>
      <c r="V192" s="213"/>
    </row>
    <row r="193" ht="15.75" spans="1:22">
      <c r="A193" s="12">
        <v>209</v>
      </c>
      <c r="B193" s="30"/>
      <c r="C193" s="35"/>
      <c r="D193" s="35"/>
      <c r="E193" s="326" t="s">
        <v>68</v>
      </c>
      <c r="F193" s="131" t="s">
        <v>572</v>
      </c>
      <c r="G193" s="132"/>
      <c r="H193" s="36">
        <v>2.5</v>
      </c>
      <c r="I193" s="37"/>
      <c r="J193" s="36"/>
      <c r="K193" s="36"/>
      <c r="L193" s="216"/>
      <c r="M193" s="100"/>
      <c r="N193" s="36"/>
      <c r="O193" s="36">
        <f>AVERAGE(O194)*H193</f>
        <v>2.5</v>
      </c>
      <c r="P193" s="38">
        <f>O193/H193</f>
        <v>1</v>
      </c>
      <c r="Q193" s="81"/>
      <c r="R193" s="246"/>
      <c r="S193" s="39"/>
      <c r="T193" s="39"/>
      <c r="U193" s="39"/>
      <c r="V193" s="39"/>
    </row>
    <row r="194" ht="189" spans="1:22">
      <c r="A194" s="12">
        <v>210</v>
      </c>
      <c r="B194" s="29"/>
      <c r="C194" s="35"/>
      <c r="D194" s="35"/>
      <c r="E194" s="35"/>
      <c r="F194" s="321" t="s">
        <v>34</v>
      </c>
      <c r="G194" s="322" t="s">
        <v>573</v>
      </c>
      <c r="H194" s="42"/>
      <c r="I194" s="51" t="s">
        <v>574</v>
      </c>
      <c r="J194" s="59" t="s">
        <v>87</v>
      </c>
      <c r="K194" s="210" t="s">
        <v>65</v>
      </c>
      <c r="L194" s="213"/>
      <c r="M194" s="51" t="s">
        <v>575</v>
      </c>
      <c r="N194" s="44" t="s">
        <v>65</v>
      </c>
      <c r="O194" s="133">
        <f>IF(J194="Ya/Tidak",IF(N194="Ya",1,IF(N194="Tidak",0,"Blm Diisi")),IF(J194="A/B/C",IF(N194="A",1,IF(N194="B",0.5,IF(N194="C",0,"Blm Diisi"))),IF(J194="A/B/C/D",IF(N194="A",1,IF(N194="B",0.67,IF(N194="C",0.33,IF(N194="D",0,"Blm Diisi")))),IF(J194="A/B/C/D/E",IF(N194="A",1,IF(N194="B",0.75,IF(N194="C",0.5,IF(N194="D",0.25,IF(N194="E",0,"Blm Diisi"))))),IF(J194="%",IF(N194="","Blm Diisi",N194),IF(J194="Jumlah",IF(N194="","Blm Diisi",""),IF(J194="Rupiah",IF(N194="","Blm Diisi",""),IF(J194="","","-"))))))))</f>
        <v>1</v>
      </c>
      <c r="P194" s="48"/>
      <c r="Q194" s="98"/>
      <c r="R194" s="242" t="s">
        <v>573</v>
      </c>
      <c r="S194" s="213"/>
      <c r="T194" s="213"/>
      <c r="U194" s="213"/>
      <c r="V194" s="213"/>
    </row>
    <row r="195" ht="18" spans="1:22">
      <c r="A195" s="12">
        <v>211</v>
      </c>
      <c r="B195" s="14" t="s">
        <v>23</v>
      </c>
      <c r="C195" s="14"/>
      <c r="D195" s="14"/>
      <c r="E195" s="14"/>
      <c r="F195" s="14"/>
      <c r="G195" s="15"/>
      <c r="H195" s="15"/>
      <c r="I195" s="15"/>
      <c r="J195" s="16"/>
      <c r="K195" s="16"/>
      <c r="L195" s="216"/>
      <c r="M195" s="55"/>
      <c r="N195" s="16"/>
      <c r="O195" s="16">
        <f>SUM(O122,O3)</f>
        <v>60</v>
      </c>
      <c r="P195" s="18"/>
      <c r="Q195" s="134"/>
      <c r="R195" s="262"/>
      <c r="S195" s="19"/>
      <c r="T195" s="19"/>
      <c r="U195" s="19"/>
      <c r="V195" s="19"/>
    </row>
    <row r="196" spans="1:22">
      <c r="A196" s="12">
        <v>212</v>
      </c>
      <c r="B196" s="135"/>
      <c r="C196" s="136"/>
      <c r="D196" s="136"/>
      <c r="E196" s="12"/>
      <c r="F196" s="12"/>
      <c r="G196" s="137"/>
      <c r="H196" s="138"/>
      <c r="I196" s="12"/>
      <c r="J196" s="139"/>
      <c r="K196" s="139"/>
      <c r="L196" s="216"/>
      <c r="M196" s="93"/>
      <c r="N196" s="139"/>
      <c r="O196" s="139"/>
      <c r="P196" s="140"/>
      <c r="Q196" s="141"/>
      <c r="R196" s="263"/>
      <c r="S196" s="54"/>
      <c r="T196" s="54"/>
      <c r="U196" s="54"/>
      <c r="V196" s="54"/>
    </row>
    <row r="197" ht="18" spans="1:22">
      <c r="A197" s="12">
        <v>214</v>
      </c>
      <c r="B197" s="13" t="s">
        <v>24</v>
      </c>
      <c r="C197" s="14" t="s">
        <v>25</v>
      </c>
      <c r="D197" s="14"/>
      <c r="E197" s="14"/>
      <c r="F197" s="14"/>
      <c r="G197" s="15"/>
      <c r="H197" s="22">
        <v>40</v>
      </c>
      <c r="I197" s="15"/>
      <c r="J197" s="16"/>
      <c r="K197" s="16"/>
      <c r="L197" s="216"/>
      <c r="M197" s="55"/>
      <c r="N197" s="16"/>
      <c r="O197" s="16">
        <f>O203</f>
        <v>40</v>
      </c>
      <c r="P197" s="18">
        <f t="shared" ref="P197:P198" si="43">O197/H197</f>
        <v>1</v>
      </c>
      <c r="Q197" s="134"/>
      <c r="R197" s="262"/>
      <c r="S197" s="19"/>
      <c r="T197" s="19"/>
      <c r="U197" s="19"/>
      <c r="V197" s="19"/>
    </row>
    <row r="198" ht="18" spans="1:22">
      <c r="A198" s="12">
        <v>215</v>
      </c>
      <c r="B198" s="20"/>
      <c r="C198" s="21" t="s">
        <v>26</v>
      </c>
      <c r="D198" s="14" t="s">
        <v>27</v>
      </c>
      <c r="E198" s="14"/>
      <c r="F198" s="14"/>
      <c r="G198" s="15"/>
      <c r="H198" s="22">
        <v>22.5</v>
      </c>
      <c r="I198" s="23"/>
      <c r="J198" s="22"/>
      <c r="K198" s="22"/>
      <c r="L198" s="216"/>
      <c r="M198" s="55"/>
      <c r="N198" s="22"/>
      <c r="O198" s="22">
        <f>SUM(O199,O200)</f>
        <v>22.5</v>
      </c>
      <c r="P198" s="24">
        <f t="shared" si="43"/>
        <v>1</v>
      </c>
      <c r="Q198" s="142"/>
      <c r="R198" s="264"/>
      <c r="S198" s="25"/>
      <c r="T198" s="25"/>
      <c r="U198" s="25"/>
      <c r="V198" s="25"/>
    </row>
    <row r="199" ht="47.25" spans="1:22">
      <c r="A199" s="12">
        <v>216</v>
      </c>
      <c r="B199" s="143"/>
      <c r="C199" s="144"/>
      <c r="D199" s="327" t="s">
        <v>28</v>
      </c>
      <c r="E199" s="86" t="s">
        <v>576</v>
      </c>
      <c r="F199" s="86"/>
      <c r="G199" s="41"/>
      <c r="H199" s="121">
        <v>17.5</v>
      </c>
      <c r="I199" s="122" t="s">
        <v>577</v>
      </c>
      <c r="J199" s="121" t="s">
        <v>578</v>
      </c>
      <c r="K199" s="258">
        <v>4</v>
      </c>
      <c r="L199" s="213"/>
      <c r="M199" s="122" t="s">
        <v>579</v>
      </c>
      <c r="N199" s="121">
        <v>4</v>
      </c>
      <c r="O199" s="121">
        <f>IF(N199="","Blm Diisi",N199/4)*H199</f>
        <v>17.5</v>
      </c>
      <c r="P199" s="123"/>
      <c r="Q199" s="96"/>
      <c r="R199" s="237" t="s">
        <v>580</v>
      </c>
      <c r="S199" s="265"/>
      <c r="T199" s="265"/>
      <c r="U199" s="265"/>
      <c r="V199" s="265"/>
    </row>
    <row r="200" ht="241.5" customHeight="1" spans="1:22">
      <c r="A200" s="12">
        <v>217</v>
      </c>
      <c r="B200" s="143"/>
      <c r="C200" s="144"/>
      <c r="D200" s="327" t="s">
        <v>30</v>
      </c>
      <c r="E200" s="86" t="s">
        <v>581</v>
      </c>
      <c r="F200" s="86"/>
      <c r="G200" s="41"/>
      <c r="H200" s="121">
        <v>5</v>
      </c>
      <c r="I200" s="122" t="s">
        <v>582</v>
      </c>
      <c r="J200" s="59" t="s">
        <v>124</v>
      </c>
      <c r="K200" s="210" t="s">
        <v>65</v>
      </c>
      <c r="L200" s="213"/>
      <c r="M200" s="122" t="s">
        <v>583</v>
      </c>
      <c r="N200" s="44" t="s">
        <v>65</v>
      </c>
      <c r="O200" s="121">
        <f>IF(J200="Ya/Tidak",IF(N200="Ya",1,IF(N200="Tidak",0,"Blm Diisi")),IF(J200="A/B/C",IF(N200="A",1,IF(N200="B",0.5,IF(N200="C",0,"Blm Diisi"))),IF(J200="A/B/C/D",IF(N200="A",1,IF(N200="B",0.67,IF(N200="C",0.33,IF(N200="D",0,"Blm Diisi")))),IF(J200="A/B/C/D/E",IF(N200="A",1,IF(N200="B",0.75,IF(N200="C",0.5,IF(N200="D",0.25,IF(N200="E",0,"Blm Diisi"))))),IF(J200="%",IF(N200="","Blm Diisi",N200),IF(J200="Jumlah",IF(N200="","Blm Diisi",""),IF(J200="Rupiah",IF(N200="","Blm Diisi",""),IF(J200="","","-"))))))))*H200</f>
        <v>5</v>
      </c>
      <c r="P200" s="123"/>
      <c r="Q200" s="96"/>
      <c r="R200" s="237" t="s">
        <v>584</v>
      </c>
      <c r="S200" s="265"/>
      <c r="T200" s="265"/>
      <c r="U200" s="265"/>
      <c r="V200" s="265"/>
    </row>
    <row r="201" ht="18" spans="1:22">
      <c r="A201" s="12">
        <v>218</v>
      </c>
      <c r="B201" s="20"/>
      <c r="C201" s="21" t="s">
        <v>32</v>
      </c>
      <c r="D201" s="14" t="s">
        <v>33</v>
      </c>
      <c r="E201" s="14"/>
      <c r="F201" s="14"/>
      <c r="G201" s="15"/>
      <c r="H201" s="22">
        <v>17.5</v>
      </c>
      <c r="I201" s="23"/>
      <c r="J201" s="22"/>
      <c r="K201" s="22"/>
      <c r="L201" s="216"/>
      <c r="M201" s="100"/>
      <c r="N201" s="22"/>
      <c r="O201" s="22">
        <f>SUM(O202)</f>
        <v>17.5</v>
      </c>
      <c r="P201" s="24">
        <f>O201/H201</f>
        <v>1</v>
      </c>
      <c r="Q201" s="142"/>
      <c r="R201" s="266"/>
      <c r="S201" s="25"/>
      <c r="T201" s="25"/>
      <c r="U201" s="25"/>
      <c r="V201" s="25"/>
    </row>
    <row r="202" ht="47.25" spans="1:22">
      <c r="A202" s="12">
        <v>219</v>
      </c>
      <c r="B202" s="147"/>
      <c r="C202" s="148"/>
      <c r="D202" s="328" t="s">
        <v>34</v>
      </c>
      <c r="E202" s="150" t="s">
        <v>585</v>
      </c>
      <c r="F202" s="150"/>
      <c r="G202" s="151"/>
      <c r="H202" s="152">
        <v>17.5</v>
      </c>
      <c r="I202" s="153" t="s">
        <v>586</v>
      </c>
      <c r="J202" s="152" t="s">
        <v>578</v>
      </c>
      <c r="K202" s="267">
        <v>4</v>
      </c>
      <c r="L202" s="213"/>
      <c r="M202" s="153" t="s">
        <v>587</v>
      </c>
      <c r="N202" s="152">
        <v>4</v>
      </c>
      <c r="O202" s="152">
        <f>IF(N202="","Blm Diisi",N202/4)*H202</f>
        <v>17.5</v>
      </c>
      <c r="P202" s="155"/>
      <c r="Q202" s="80"/>
      <c r="R202" s="268" t="s">
        <v>585</v>
      </c>
      <c r="S202" s="265"/>
      <c r="T202" s="265"/>
      <c r="U202" s="265"/>
      <c r="V202" s="265"/>
    </row>
    <row r="203" ht="18" spans="1:22">
      <c r="A203" s="12">
        <v>221</v>
      </c>
      <c r="B203" s="157" t="s">
        <v>36</v>
      </c>
      <c r="C203" s="7"/>
      <c r="D203" s="7"/>
      <c r="E203" s="7"/>
      <c r="F203" s="7"/>
      <c r="G203" s="8"/>
      <c r="H203" s="13"/>
      <c r="I203" s="13"/>
      <c r="J203" s="16"/>
      <c r="K203" s="16"/>
      <c r="L203" s="19"/>
      <c r="M203" s="16"/>
      <c r="N203" s="16"/>
      <c r="O203" s="16">
        <f>SUM(O198,O201)</f>
        <v>40</v>
      </c>
      <c r="P203" s="18"/>
      <c r="Q203" s="134"/>
      <c r="R203" s="269"/>
      <c r="S203" s="19"/>
      <c r="T203" s="19"/>
      <c r="U203" s="19"/>
      <c r="V203" s="19"/>
    </row>
    <row r="204" ht="23.25" spans="1:22">
      <c r="A204" s="159">
        <v>223</v>
      </c>
      <c r="B204" s="160" t="s">
        <v>588</v>
      </c>
      <c r="C204" s="161"/>
      <c r="D204" s="161"/>
      <c r="E204" s="161"/>
      <c r="F204" s="161"/>
      <c r="G204" s="162"/>
      <c r="H204" s="163"/>
      <c r="I204" s="163"/>
      <c r="J204" s="163"/>
      <c r="K204" s="163"/>
      <c r="L204" s="270"/>
      <c r="M204" s="163"/>
      <c r="N204" s="163"/>
      <c r="O204" s="164">
        <f>SUM(O195,O203)</f>
        <v>100</v>
      </c>
      <c r="P204" s="165"/>
      <c r="Q204" s="166"/>
      <c r="R204" s="271" t="s">
        <v>589</v>
      </c>
      <c r="S204" s="168"/>
      <c r="T204" s="167"/>
      <c r="U204" s="167"/>
      <c r="V204" s="167"/>
    </row>
    <row r="205" ht="15.75" spans="1:22">
      <c r="B205" s="272"/>
      <c r="C205" s="273"/>
      <c r="D205" s="273"/>
      <c r="E205" s="273"/>
      <c r="F205" s="274"/>
      <c r="G205" s="275"/>
      <c r="H205" s="276"/>
      <c r="I205" s="277"/>
      <c r="J205" s="278"/>
      <c r="K205" s="278"/>
      <c r="L205" s="279"/>
      <c r="M205" s="278"/>
      <c r="N205" s="278"/>
      <c r="O205" s="278"/>
      <c r="P205" s="280"/>
      <c r="Q205" s="281"/>
      <c r="R205" s="280"/>
      <c r="S205" s="281"/>
      <c r="T205" s="281"/>
      <c r="U205" s="281"/>
      <c r="V205" s="281"/>
    </row>
  </sheetData>
  <mergeCells count="3">
    <mergeCell ref="B1:G1"/>
    <mergeCell ref="F173:G173"/>
    <mergeCell ref="B203:G203"/>
  </mergeCells>
  <dataValidations count="6">
    <dataValidation type="list" allowBlank="1" showErrorMessage="1" sqref="K6 N6 K9 N9 K17 N17 K36 N36 K38 N38 K40 N40 K42 N42 K44 N44 K54 N54 K69 N69 K71 N71 K84 N84 K102 N102 K120 N120 K65:K67 N65:N67">
      <formula1>"Ya,Tidak"</formula1>
    </dataValidation>
    <dataValidation type="list" allowBlank="1" showErrorMessage="1" sqref="K7 N7 K49 N49 K58 N58 K70 N70 K72 N72 K75 N75 K83 N83 K116 N116 K121 N121 K147 N147 K149 N149 K10:K11 K18:K19 K27:K30 K32:K33 K61:K62 K80:K81 K85:K86 K88:K90 K95:K96 K112:K113 K139:K140 N10:N11 N18:N19 N27:N30 N32:N33 N61:N62 N80:N81 N85:N86 N88:N90 N95:N96 N112:N113 N139:N140">
      <formula1>"A,B,C"</formula1>
    </dataValidation>
    <dataValidation type="list" allowBlank="1" showErrorMessage="1" sqref="K20 N20 K23 N23 K37 N37 K56 N56 K63 N63 K68 N68 K76 N76 K117 N117 K119 N119 K134 N134 K137 N137 K161 N161 K163 N163 K189 N189 K194 N194 K13:K15 K45:K48 K51:K52 K92:K94 K100:K101 K105:K108 N13:N15 N45:N48 N51:N52 N92:N94 N100:N101 N105:N108">
      <formula1>"A,B,C,D"</formula1>
    </dataValidation>
    <dataValidation type="list" allowBlank="1" showErrorMessage="1" sqref="K41 N41 K53 N53 K99 N99 K104 N104 K109 N109 K111 N111 K115 N115 K132 N132 K166 N166 K200 N200 K24:K25 K78:K79 K142:K144 N24:N25 N78:N79 N142:N144">
      <formula1>"A,B,C,D,E"</formula1>
    </dataValidation>
    <dataValidation type="decimal" operator="greaterThanOrEqual" allowBlank="1" showErrorMessage="1" sqref="K87 N87 K91 N91 K103 N103 K110 N110 K114 N114 K133 N133 K138 N138 K141 N141 K148 N148 K150 N150 K167 N167 K97:K98 K122:K124 K126:K127 K129:K131 K135:K136 K145:K146 K152:K156 K158:K159 K169:K172 K191:K192 N97:N98 N122:N124 N126:N127 N129:N131 N135:N136 N145:N146 N152:N156 N158:N159 N169:N172 N191:N192">
      <formula1>0</formula1>
    </dataValidation>
    <dataValidation type="decimal" operator="between" allowBlank="1" showErrorMessage="1" sqref="K199 N199 K201:K202 N201:N202">
      <formula1>0</formula1>
      <formula2>4</formula2>
    </dataValidation>
  </dataValidations>
  <hyperlinks>
    <hyperlink ref="R6" r:id="rId1" display="a. Unit kerja telah membentuk tim untuk melakukan pembangunan Zona Integritas."/>
    <hyperlink ref="R7" r:id="rId2" display="b. Penentuan anggota Tim dipilih melalui prosedur/mekanisme yang jelas."/>
    <hyperlink ref="R9" r:id="rId3" display="a. Terdapat dokumen rencana kerja pembangunan Zona Integritas menuju WBK/WBBM."/>
    <hyperlink ref="R10" r:id="rId4" display="b. Dalam dokumen pembangunan terdapat target-target prioritas yang relevan dengan tujuan pembangunan WBK/WBBM."/>
    <hyperlink ref="R11" r:id="rId5" display="c. Terdapat mekanisme atau media untuk mensosialisasikan pembangunan WBK/WBBM."/>
    <hyperlink ref="R13" r:id="rId6" display="a. Seluruh kegiatan pembangunan sudah dilaksanakan sesuai dengan rencana."/>
    <hyperlink ref="R14" r:id="rId7" display="b. Terdapat monitoring dan evaluasi terhadap pembangunan Zona Integritas."/>
    <hyperlink ref="R15" r:id="rId8" display="c. Hasil Monitoring dan Evaluasi telah ditindaklanjuti."/>
    <hyperlink ref="R17" r:id="rId9" display="a. Pimpinan berperan sebagai role model dalam pelaksanaan Pembangunan WBK/WBBM."/>
    <hyperlink ref="R18" r:id="rId10" display="b. Sudah ditetapkan agen perubahan."/>
    <hyperlink ref="R19" r:id="rId11" display="c. Telah dibangun budaya kerja dan pola pikir di lingkungan organisasi."/>
    <hyperlink ref="R20" r:id="rId12" display="d. Anggota organisasi terlibat dalam pembangunan Zona Integritas menuju WBK/WBBM."/>
    <hyperlink ref="R23" r:id="rId13" display="a. SOP mengacu pada peta proses bisnis instansi."/>
    <hyperlink ref="R24" r:id="rId14" display="b. Prosedur operasional tetap (SOP) telah diterapkan."/>
    <hyperlink ref="R25" r:id="rId15" display="c. Prosedur operasional tetap (SOP) telah dievaluasi."/>
    <hyperlink ref="R27" r:id="rId16" display="a. Sistem pengukuran kinerja unit sudah menggunakan teknologi informasi."/>
    <hyperlink ref="R28" r:id="rId17" display="b. Operasionalisasi manajemen SDM sudah menggunakan teknologi informasi. "/>
    <hyperlink ref="R29" r:id="rId18" display="c.Pemberian pelayanan kepada publik sudah menggunakan teknologi informasi. "/>
    <hyperlink ref="R30" r:id="rId19" display="d. Telah dilakukan monitoring dan dan evaluasi terhadap pemanfaatan teknologi informasi dalam pengukuran kinerja unit, operasionalisasi SDM, dan pemberian layanan kepada publik."/>
    <hyperlink ref="R32" r:id="rId20" display="a. Kebijakan tentang  keterbukaan informasi publik telah diterapkan"/>
    <hyperlink ref="R33" r:id="rId21" display="b. Telah dilakukan monitoring dan evaluasi pelaksanaan kebijakan keterbukaan informasi publik."/>
    <hyperlink ref="R36" r:id="rId22" display="a. Kebutuhan pegawai yang disusun oleh unit kerja mengacu kepada peta jabatan dan hasil analisis beban kerja untuk masing-masing jabatan."/>
    <hyperlink ref="R37" r:id="rId23" display="b. Penempatan pegawai hasil rekrutmen murni mengacu kepada kebutuhan pegawai yang telah disusun per jabatan."/>
    <hyperlink ref="R38" r:id="rId24" display="c. Telah dilakukan monitoring dan dan evaluasi terhadap penempatan pegawai rekrutmen untuk memenuhi kebutuhan jabatan dalam organisasi telah memberikan perbaikan terhadap kinerja unit kerja."/>
    <hyperlink ref="R40" r:id="rId25" display="a. Dalam melakukan pengembangan karier pegawai, telah dilakukan mutasi pegawai antar jabatan."/>
    <hyperlink ref="R41" r:id="rId26" display="b. Dalam melakukan mutasi pegawai antar jabatan telah memperhatikan kompetensi jabatan dan mengikuti pola mutasi yang telah ditetapkan."/>
    <hyperlink ref="R42" r:id="rId27" display="c. Telah dilakukan monitoring dan evaluasi terhadap kegiatan mutasi yang telah dilakukan dalam kaitannya dengan perbaikan kinerja."/>
    <hyperlink ref="R44" r:id="rId28" display="a. Unit Kerja melakukan Training Need Analysis Untuk pengembangan kompetensi."/>
    <hyperlink ref="R45" r:id="rId29" display="b. Dalam menyusun rencana pengembangan kompetensi pegawai, telah mempertimbangkan hasil pengelolaan kinerja pegawai."/>
    <hyperlink ref="R46" r:id="rId30" display="c.  Tingkat kesenjangan kompetensi pegawai yang ada dengan standar kompetensi yang ditetapkan untuk masing-masing jabatan. "/>
    <hyperlink ref="R47" r:id="rId31" display="d. Pegawai di Unit Kerja telah memperoleh kesempatan/hak untuk mengikuti diklat maupun pengembangan kompetensi lainnya. "/>
    <hyperlink ref="R48" r:id="rId32" display="e. Dalam pelaksanaan pengembangan kompetensi, unit kerja melakukan upaya pengembangan kompetensi kepada pegawai (seperti pengikutsertaan pada lembaga pelatihan, in-house training, coaching, atau mentoring). "/>
    <hyperlink ref="R49" r:id="rId33" display="f. Telah dilakukan monitoring dan evaluasi terhadap hasil pengembangan kompetensi dalam kaitannya dengan perbaikan kinerja."/>
    <hyperlink ref="R51" r:id="rId34" display="a. Terdapat penetapan kinerja individu yang terkait dengan perjanjian kinerja organisasi"/>
    <hyperlink ref="R52" r:id="rId35" display="b. Ukuran kinerja individu telah memiliki kesesuaian dengan indikator kinerja individu level diatasnya."/>
    <hyperlink ref="R53" r:id="rId36" display="c. Pengukuran kinerja individu dilakukan secara periodik."/>
    <hyperlink ref="R54" r:id="rId37" display="d. Hasil penilaian kinerja individu telah dijadikan dasar untuk pemberian reward."/>
    <hyperlink ref="R56" r:id="rId38" display="a. &quot;Aturan disiplin/kode etik/kode perilaku telah dilaksanakan/ diimplementasikan.&quot;"/>
    <hyperlink ref="R58" r:id="rId39" display="a. Data informasi kepegawaian unit kerja telah dimutakhirkan secara berkala."/>
    <hyperlink ref="R61" r:id="rId40" display="a. Unit kerja telah melibatkan pimpinan secara langsung pada saat penyusunan perencanaan. "/>
    <hyperlink ref="R62" r:id="rId41" display="b. Unit kerja telah melibatkan secara langsung pimpinan saat penyusunan penetapan kinerja. "/>
    <hyperlink ref="R63" r:id="rId42" display="c. Pimpinan memantau pencapaian kinerja secara berkala. "/>
    <hyperlink ref="R65" r:id="rId43" display="a. Dokumen perencanaan kinerja sudah ada."/>
    <hyperlink ref="R66" r:id="rId44" display="b. Perencanaan kinerja telah berorientasi hasil. "/>
    <hyperlink ref="R67" r:id="rId45" display="c. Terdapat penetapan Indikator Kinerja Utama (IKU)."/>
    <hyperlink ref="R68" r:id="rId46" display="d. Indikator kinerja telah telah memenuhi kriteria SMART."/>
    <hyperlink ref="R69" r:id="rId47" display="e. Laporan kinerja telah disusun tepat waktu. "/>
    <hyperlink ref="R70" r:id="rId48" display="f. Laporan kinerja telah memberikan informasi tentang kinerja. "/>
    <hyperlink ref="R71" r:id="rId49" display="g. Terdapat sistem informasi/mekanisme informasi kinerja."/>
    <hyperlink ref="R72" r:id="rId50" display="h. Unit kerja telah berupaya meningkatkan kapasitas SDM yang menangangi akuntabilitas kinerja."/>
    <hyperlink ref="R75" r:id="rId51" display="a. Telah dilakukan public campaign tentang pengendalian gratifikasi."/>
    <hyperlink ref="R76" r:id="rId52" display="b. Pengendalian gratifikasi telah diimplementasikan."/>
    <hyperlink ref="R78" r:id="rId53" display="a. Telah dibangun lingkungan pengendalian."/>
    <hyperlink ref="R79" r:id="rId54" display="b. Telah dilakukan penilaian risiko atas pelaksanaan kebijakan."/>
    <hyperlink ref="R80" r:id="rId55" display="c. Telah dilakukan kegiatan pengendalian untuk meminimalisir risiko yang telah diidentifikasi."/>
    <hyperlink ref="R81" r:id="rId56" display="d. SPI telah diinformasikan dan dikomunikasikan kepada seluruh pihak terkait."/>
    <hyperlink ref="R83" r:id="rId57" display="a. Kebijakan Pengaduan masyarakat telah diimplementasikan. "/>
    <hyperlink ref="R84" r:id="rId58" display="b. pengaduan masyarakat dtindaklanjuti. "/>
    <hyperlink ref="R85" r:id="rId59" display="c. Telah dilakukan monitoring dan evaluasi atas penanganan pengaduan masyarakat. "/>
    <hyperlink ref="R86" r:id="rId60" display="d. Hasil evaluasi atas penanganan pengaduan masyarakat telah ditindaklanjuti. "/>
    <hyperlink ref="R88" r:id="rId61" display="a. Whistle Blowing System telah diterapkan."/>
    <hyperlink ref="R89" r:id="rId62" display="b. Telah dilakukan evaluasi atas penerapan Whistle Blowing System."/>
    <hyperlink ref="R90" r:id="rId63" display="c. Hasil evaluasi atas penerapan Whistle Blowing System telah ditindaklanjuti."/>
    <hyperlink ref="R92" r:id="rId64" display="a. Telah terdapat identifikasi/pemetaan benturan kepentingan dalam tugas fungsi utama."/>
    <hyperlink ref="R93" r:id="rId65" display="b. Penanganan Benturan Kepentingan telah disosialisasikan/internalisasi."/>
    <hyperlink ref="R94" r:id="rId66" display="c. Penanganan Benturan Kepentingan telah diimplementasikan. "/>
    <hyperlink ref="R95" r:id="rId67" display="d. Telah dilakukan evaluasi atas Penanganan Benturan Kepentingan."/>
    <hyperlink ref="R96" r:id="rId68" display="e. Hasil evaluasi atas Penanganan Benturan Kepentingan telah ditindaklanjuti."/>
    <hyperlink ref="R99" r:id="rId69" display="a. Terdapat kebijakan standar pelayanan."/>
    <hyperlink ref="R100" r:id="rId70" display="b. Standar pelayanan telah dimaklumatkan. "/>
    <hyperlink ref="R101" r:id="rId71" display="c. Dilakukan reviu dan perbaikan atas standar pelayanan."/>
    <hyperlink ref="R102" r:id="rId72" display="d. Telah melakukan publikasi atas standar pelayanan dan maklumat pelayanan."/>
    <hyperlink ref="R104" r:id="rId73" display="a. Telah dilakukan berbagai upaya peningkatan kemampuan dan/atau kompetensi tentang penerapan budaya pelayanan prima. "/>
    <hyperlink ref="R105" r:id="rId74" display="b. Informasi tentang pelayanan mudah diakses melalui berbagai media."/>
    <hyperlink ref="R106" r:id="rId75" display="c. Telah terdapat sistem pemberian penghargaan dan sanksi bagi petugas pemberi pelayanan."/>
    <hyperlink ref="R107" r:id="rId76" display="d. Telah terdapat sistem pemberian kompensasi kepada penerima layanan bila layanan tidak sesuai standar."/>
    <hyperlink ref="R108" r:id="rId77" display="e. Terdapat sarana layanan terpadu/terintegrasi."/>
    <hyperlink ref="R109" r:id="rId78" display="f. Terdapat inovasi pelayanan."/>
    <hyperlink ref="R111" r:id="rId79" display="a. Terdapat media pengaduan dan konsultasi pelayanan yang terintegrasi dengan SP4N-Lapor!. "/>
    <hyperlink ref="R112" r:id="rId80" display="b. Terdapat unit yang mengelola pengaduan dan konsultasi pelayanan."/>
    <hyperlink ref="R113" r:id="rId81" display="c. Telah dilakukan evaluasi atas penanganan keluhan/masukan dan konsultasi."/>
    <hyperlink ref="R115" r:id="rId82" display="a. Telah dilakukan survey kepuasan masyarakat terhadap pelayanan."/>
    <hyperlink ref="R116" r:id="rId83" display="b. Hasil survei kepuasan masyarakat dapat diakses secara terbuka."/>
    <hyperlink ref="R117" r:id="rId84" display="c. Dilakukan tindak lanjut atas hasil survei kepuasan masyarakat."/>
    <hyperlink ref="R119" r:id="rId85" display="a. Telah menerapkan teknologi informasi dalam memberikan pelayanan."/>
    <hyperlink ref="R120" r:id="rId86" display="b. Telah membangun database pelayanan yang terintegrasi."/>
    <hyperlink ref="R121" r:id="rId87" display="c. Telah dilakukan perbaikan secara terus menerus."/>
    <hyperlink ref="R125" r:id="rId88" display="a. Agen perubahan telah membuat perubahan yang konkret di Instansi (dalam 1 tahun)."/>
    <hyperlink ref="R128" r:id="rId89" display="b. Perubahan yang dibuat Agen Perubahan telah terintegrasi dalam sistem manajemen."/>
    <hyperlink ref="R132" r:id="rId90" display="Pimpinan memiliki komitmen terhadap pelaksanaan reformasi birokrasi, dengan adanya target capaian reformasi yang jelas di dokumen perencanaan."/>
    <hyperlink ref="R134" r:id="rId91" display="Instansi membangun budaya kerja positif dan menerapkan nilai-nilai organisasi dalam pelaksanaan tugas sehari-hari."/>
    <hyperlink ref="R137" r:id="rId92" display="Telah disusun peta proses bisnis dengan adanya penyederhanaan jabatan. "/>
    <hyperlink ref="R139" r:id="rId93" display="a. Implementasi SPBE telah terintegrasi dan mampu mendorong pelaksanaan pelayanan publik yang lebih cepat dan efisien."/>
    <hyperlink ref="R140" r:id="rId94" display="b. Implementasi SPBE telah terintegrasi dan mampu mendorong pelaksanaan pelayanan internal organisasi yang lebih cepat dan efisien."/>
    <hyperlink ref="R142" r:id="rId95" display="a. Transformasi digital pada bidang proses bisnis utama telah mampu memberikan nilai manfaat bagi unit kerja secara optimal. "/>
    <hyperlink ref="R143" r:id="rId96" display="b. Transformasi digital pada bidang administrasi pemerintahan telah mampu memberikan nilai manfaat bagi unit kerja secara optimal. "/>
    <hyperlink ref="R144" r:id="rId97" display="c. Transformasi digital pada bidang pelayanan publik telah mampu memberikan nilai manfaat bagi unit kerja secara optimal."/>
    <hyperlink ref="R147" r:id="rId98" display="a. Ukuran kinerja individu telah berorientasi hasil (outcome) sesuai pada levelnya."/>
    <hyperlink ref="R149" r:id="rId99" display="a. Hasil assement telah dijadikan pertimbangan untuk mutasi dan pengembangan karir pegawai."/>
    <hyperlink ref="R151" r:id="rId100" display="a. Penurunan pelanggaran disiplin pegawai. "/>
    <hyperlink ref="R157" r:id="rId101" display="a. Persentase Sasaran dengan capaian 100% atau lebih. "/>
    <hyperlink ref="R161" r:id="rId102" display="Hasil Capaian/Monitoring Perjanjian Kinerja telah dijadikan dasar sebagai pemberian reward and punishment bagi organisasi."/>
    <hyperlink ref="R163" r:id="rId103" display="Apakah terdapat penjenjangan kinerja ((Kerangka Logis Kinerja) yang mengacu pada kinerja utama  organisasi dan dijadikan dalam penentuan kinerja seluruh pegawai? "/>
    <hyperlink ref="R166" r:id="rId104" display="Telah dilakukan mekanisme pengendalian aktivitas secara berjenjang."/>
    <hyperlink ref="R167" r:id="rId105" display="B. Penanganan Pengaduan Masyarakat"/>
    <hyperlink ref="R174" r:id="rId106" display="a. Penyampaian Laporan Harta Kekayaan Pejabat Negara (LHKPN) "/>
    <hyperlink ref="R180" r:id="rId107" display="b. Penyampaian Laporan Harta Kekayaan Non LHKPN (Tidak Wajib LHKPN)"/>
    <hyperlink ref="R189" r:id="rId108" display="a. &quot;Upaya dan/atau inovasi telah mendorong perbaikan pelayanan publik pada: 1. Kesesuaian Persyaratan; 2. Kemudahan Sistem, Mekanisme, dan Prosedur; 3. Kecepatan Waktu Penyelesaian; 4. Kejelasan Biaya/Tarif, Gratis; 5. Kualitas Produk Spesifikasi Jenis Pelayanan; 6. Kompetensi Pelaksana/Web; 7. Perilaku Pelaksana/Web; 8. Kualitas Sarana dan prasarana; 9. Penanganan Pengaduan, Saran dan Masukan.&quot;"/>
    <hyperlink ref="R190" r:id="rId109" display="b. &quot;Upaya dan/atau inovasi pada perijinan/pelayanan telah dipermudah: 1. Waktu lebih cepat; 2. Pelayanan Publik yang terpadu; 3. Alur lebih pendek/singkat; 4 Terintegrasi dengan aplikasi.&quot;"/>
    <hyperlink ref="R194" r:id="rId110" display="Penanganan pengaduan pelayanan dilakukan melalui berbagai kanal/media secara responsif dan bertanggung jawab."/>
    <hyperlink ref="R199" r:id="rId111" display="a. Nilai Survey Persepsi Korupsi (Survei Eksternal)."/>
    <hyperlink ref="R200" r:id="rId112" display="b. Capaian Kinerja Lebih Baik dari pada Capaian Kinerja Sebelumnya."/>
    <hyperlink ref="R202" r:id="rId113" display="Nilai Persepsi Kualitas Pelayanan (Survei Eksternal)."/>
  </hyperlinks>
  <pageMargins left="0.708661417322835" right="0.708661417322835" top="0.748031496062992" bottom="0.748031496062992" header="0" footer="0"/>
  <pageSetup paperSize="5" fitToHeight="0"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pageSetUpPr fitToPage="1"/>
  </sheetPr>
  <dimension ref="A1:V205"/>
  <sheetViews>
    <sheetView topLeftCell="B1" workbookViewId="0">
      <pane ySplit="1" topLeftCell="A5" activePane="bottomLeft" state="frozen"/>
      <selection/>
      <selection pane="bottomLeft" activeCell="B5" sqref="B5"/>
    </sheetView>
  </sheetViews>
  <sheetFormatPr defaultColWidth="14.4285714285714" defaultRowHeight="15" customHeight="1"/>
  <cols>
    <col min="1" max="1" width="6.14285714285714" hidden="1" customWidth="1"/>
    <col min="2" max="2" width="4.57142857142857" customWidth="1"/>
    <col min="3" max="3" width="5.42857142857143" customWidth="1"/>
    <col min="4" max="4" width="3.42857142857143" customWidth="1"/>
    <col min="5" max="5" width="4.42857142857143" customWidth="1"/>
    <col min="6" max="6" width="3.42857142857143" customWidth="1"/>
    <col min="7" max="7" width="80.7142857142857" customWidth="1"/>
    <col min="8" max="8" width="12.4285714285714" customWidth="1"/>
    <col min="9" max="9" width="53.5714285714286" customWidth="1"/>
    <col min="10" max="10" width="15.4285714285714" customWidth="1"/>
    <col min="11" max="11" width="13.5714285714286" customWidth="1"/>
    <col min="12" max="12" width="49.4285714285714" customWidth="1"/>
    <col min="13" max="13" width="75" customWidth="1"/>
    <col min="14" max="14" width="23.4285714285714" customWidth="1"/>
    <col min="16" max="16" width="14.1428571428571" customWidth="1"/>
    <col min="17" max="17" width="48.1428571428571" customWidth="1"/>
    <col min="18" max="22" width="47.4285714285714" customWidth="1"/>
  </cols>
  <sheetData>
    <row r="1" ht="36" spans="1:22">
      <c r="A1" s="5">
        <v>1</v>
      </c>
      <c r="B1" s="6" t="s">
        <v>38</v>
      </c>
      <c r="C1" s="7"/>
      <c r="D1" s="7"/>
      <c r="E1" s="7"/>
      <c r="F1" s="7"/>
      <c r="G1" s="8"/>
      <c r="H1" s="9" t="s">
        <v>3</v>
      </c>
      <c r="I1" s="9" t="s">
        <v>39</v>
      </c>
      <c r="J1" s="9" t="s">
        <v>40</v>
      </c>
      <c r="K1" s="9" t="s">
        <v>41</v>
      </c>
      <c r="L1" s="10" t="s">
        <v>42</v>
      </c>
      <c r="M1" s="10" t="s">
        <v>43</v>
      </c>
      <c r="N1" s="9" t="s">
        <v>590</v>
      </c>
      <c r="O1" s="9" t="s">
        <v>591</v>
      </c>
      <c r="P1" s="11" t="s">
        <v>7</v>
      </c>
      <c r="Q1" s="10" t="s">
        <v>592</v>
      </c>
      <c r="R1" s="10" t="s">
        <v>46</v>
      </c>
      <c r="S1" s="10" t="s">
        <v>47</v>
      </c>
      <c r="T1" s="10" t="s">
        <v>48</v>
      </c>
      <c r="U1" s="10" t="s">
        <v>49</v>
      </c>
      <c r="V1" s="10" t="s">
        <v>50</v>
      </c>
    </row>
    <row r="2" ht="18" spans="1:22">
      <c r="A2" s="12">
        <v>3</v>
      </c>
      <c r="B2" s="13" t="s">
        <v>9</v>
      </c>
      <c r="C2" s="14" t="s">
        <v>10</v>
      </c>
      <c r="D2" s="14"/>
      <c r="E2" s="14"/>
      <c r="F2" s="14"/>
      <c r="G2" s="15"/>
      <c r="H2" s="16">
        <v>60</v>
      </c>
      <c r="I2" s="17"/>
      <c r="J2" s="16"/>
      <c r="K2" s="16"/>
      <c r="L2" s="19"/>
      <c r="M2" s="16"/>
      <c r="N2" s="16"/>
      <c r="O2" s="16">
        <f>O195</f>
        <v>60</v>
      </c>
      <c r="P2" s="18">
        <f t="shared" ref="P2:P5" si="0">O2/H2</f>
        <v>1</v>
      </c>
      <c r="Q2" s="19"/>
      <c r="R2" s="19"/>
      <c r="S2" s="19"/>
      <c r="T2" s="19"/>
      <c r="U2" s="19"/>
      <c r="V2" s="19"/>
    </row>
    <row r="3" ht="18" spans="1:22">
      <c r="A3" s="12">
        <v>4</v>
      </c>
      <c r="B3" s="20"/>
      <c r="C3" s="21" t="s">
        <v>26</v>
      </c>
      <c r="D3" s="14" t="s">
        <v>51</v>
      </c>
      <c r="E3" s="14"/>
      <c r="F3" s="14"/>
      <c r="G3" s="15"/>
      <c r="H3" s="22">
        <v>30</v>
      </c>
      <c r="I3" s="23"/>
      <c r="J3" s="22"/>
      <c r="K3" s="22"/>
      <c r="L3" s="25"/>
      <c r="M3" s="22"/>
      <c r="N3" s="22"/>
      <c r="O3" s="22">
        <f>SUM(O4,O21,O34,O59,O73,O97)</f>
        <v>30</v>
      </c>
      <c r="P3" s="24">
        <f t="shared" si="0"/>
        <v>1</v>
      </c>
      <c r="Q3" s="25"/>
      <c r="R3" s="25"/>
      <c r="S3" s="25"/>
      <c r="T3" s="25"/>
      <c r="U3" s="25"/>
      <c r="V3" s="25"/>
    </row>
    <row r="4" ht="15.75" spans="1:22">
      <c r="A4" s="12">
        <v>5</v>
      </c>
      <c r="B4" s="26"/>
      <c r="C4" s="27"/>
      <c r="D4" s="28" t="s">
        <v>11</v>
      </c>
      <c r="E4" s="29" t="s">
        <v>12</v>
      </c>
      <c r="F4" s="29"/>
      <c r="G4" s="30"/>
      <c r="H4" s="31">
        <v>4</v>
      </c>
      <c r="I4" s="32"/>
      <c r="J4" s="31"/>
      <c r="K4" s="31"/>
      <c r="L4" s="34"/>
      <c r="M4" s="31"/>
      <c r="N4" s="31"/>
      <c r="O4" s="31">
        <f>SUM(O5,O8,O12,O16)</f>
        <v>4</v>
      </c>
      <c r="P4" s="33">
        <f t="shared" si="0"/>
        <v>1</v>
      </c>
      <c r="Q4" s="34"/>
      <c r="R4" s="34"/>
      <c r="S4" s="34"/>
      <c r="T4" s="34"/>
      <c r="U4" s="34"/>
      <c r="V4" s="34"/>
    </row>
    <row r="5" ht="15.75" spans="1:22">
      <c r="A5" s="12">
        <v>6</v>
      </c>
      <c r="B5" s="30"/>
      <c r="C5" s="35"/>
      <c r="D5" s="35"/>
      <c r="E5" s="35" t="s">
        <v>52</v>
      </c>
      <c r="F5" s="29" t="s">
        <v>53</v>
      </c>
      <c r="G5" s="30"/>
      <c r="H5" s="36">
        <v>0.5</v>
      </c>
      <c r="I5" s="37"/>
      <c r="J5" s="36"/>
      <c r="K5" s="36"/>
      <c r="L5" s="39"/>
      <c r="M5" s="36"/>
      <c r="N5" s="36"/>
      <c r="O5" s="36">
        <f>AVERAGE(O6:O7)*H5</f>
        <v>0.5</v>
      </c>
      <c r="P5" s="38">
        <f t="shared" si="0"/>
        <v>1</v>
      </c>
      <c r="Q5" s="39"/>
      <c r="R5" s="39"/>
      <c r="S5" s="39"/>
      <c r="T5" s="39"/>
      <c r="U5" s="39"/>
      <c r="V5" s="39"/>
    </row>
    <row r="6" ht="141.75" spans="1:22">
      <c r="A6" s="12">
        <v>7</v>
      </c>
      <c r="B6" s="29"/>
      <c r="C6" s="35"/>
      <c r="D6" s="35"/>
      <c r="E6" s="35"/>
      <c r="F6" s="40" t="s">
        <v>54</v>
      </c>
      <c r="G6" s="41" t="s">
        <v>55</v>
      </c>
      <c r="H6" s="42"/>
      <c r="I6" s="43" t="s">
        <v>56</v>
      </c>
      <c r="J6" s="44" t="s">
        <v>57</v>
      </c>
      <c r="K6" s="44" t="str">
        <f>Jawaban!K6</f>
        <v>Ya</v>
      </c>
      <c r="L6" s="45">
        <f>Jawaban!L6</f>
        <v>0</v>
      </c>
      <c r="M6" s="43" t="s">
        <v>59</v>
      </c>
      <c r="N6" s="176" t="s">
        <v>58</v>
      </c>
      <c r="O6" s="47">
        <f t="shared" ref="O6:O7" si="1">IF(J6="Ya/Tidak",IF(N6="Ya",1,IF(N6="Tidak",0,"Blm Diisi")),IF(J6="A/B/C",IF(N6="A",1,IF(N6="B",0.5,IF(N6="C",0,"Blm Diisi"))),IF(J6="A/B/C/D",IF(N6="A",1,IF(N6="B",0.67,IF(N6="C",0.33,IF(N6="D",0,"Blm Diisi")))),IF(J6="A/B/C/D/E",IF(N6="A",1,IF(N6="B",0.75,IF(N6="C",0.5,IF(N6="D",0.25,IF(N6="E",0,"Blm Diisi"))))),IF(J6="%",IF(N6="","Blm Diisi",N6),IF(J6="Jumlah",IF(N6="","Blm Diisi",""),IF(J6="Rupiah",IF(N6="","Blm Diisi",""),IF(J6="","","-"))))))))</f>
        <v>1</v>
      </c>
      <c r="P6" s="48"/>
      <c r="Q6" s="177" t="s">
        <v>593</v>
      </c>
      <c r="R6" s="178" t="str">
        <f>Jawaban!R6</f>
        <v>a. Unit kerja telah membentuk tim untuk melakukan pembangunan Zona Integritas.</v>
      </c>
      <c r="S6" s="51">
        <f>Jawaban!S6</f>
        <v>0</v>
      </c>
      <c r="T6" s="51">
        <f>Jawaban!T6</f>
        <v>0</v>
      </c>
      <c r="U6" s="51">
        <f>Jawaban!U6</f>
        <v>0</v>
      </c>
      <c r="V6" s="51">
        <f>Jawaban!V6</f>
        <v>0</v>
      </c>
    </row>
    <row r="7" ht="128.25" customHeight="1" spans="1:22">
      <c r="A7" s="12">
        <v>8</v>
      </c>
      <c r="B7" s="29"/>
      <c r="C7" s="35"/>
      <c r="D7" s="35"/>
      <c r="E7" s="35"/>
      <c r="F7" s="40" t="s">
        <v>61</v>
      </c>
      <c r="G7" s="41" t="s">
        <v>62</v>
      </c>
      <c r="H7" s="42"/>
      <c r="I7" s="51" t="s">
        <v>63</v>
      </c>
      <c r="J7" s="44" t="s">
        <v>64</v>
      </c>
      <c r="K7" s="44" t="str">
        <f>Jawaban!K7</f>
        <v>A</v>
      </c>
      <c r="L7" s="52">
        <f>Jawaban!L7</f>
        <v>0</v>
      </c>
      <c r="M7" s="51" t="s">
        <v>66</v>
      </c>
      <c r="N7" s="176" t="s">
        <v>65</v>
      </c>
      <c r="O7" s="47">
        <f t="shared" si="1"/>
        <v>1</v>
      </c>
      <c r="P7" s="48"/>
      <c r="Q7" s="179" t="s">
        <v>593</v>
      </c>
      <c r="R7" s="178" t="str">
        <f>Jawaban!R7</f>
        <v>b. Penentuan anggota Tim dipilih melalui prosedur/mekanisme yang jelas.</v>
      </c>
      <c r="S7" s="51">
        <f>Jawaban!S7</f>
        <v>0</v>
      </c>
      <c r="T7" s="51">
        <f>Jawaban!T7</f>
        <v>0</v>
      </c>
      <c r="U7" s="51">
        <f>Jawaban!U7</f>
        <v>0</v>
      </c>
      <c r="V7" s="51">
        <f>Jawaban!V7</f>
        <v>0</v>
      </c>
    </row>
    <row r="8" ht="15.75" spans="1:22">
      <c r="A8" s="12">
        <v>9</v>
      </c>
      <c r="B8" s="30"/>
      <c r="C8" s="35"/>
      <c r="D8" s="35"/>
      <c r="E8" s="35" t="s">
        <v>68</v>
      </c>
      <c r="F8" s="29" t="s">
        <v>69</v>
      </c>
      <c r="G8" s="30"/>
      <c r="H8" s="36">
        <v>1</v>
      </c>
      <c r="I8" s="37"/>
      <c r="J8" s="36"/>
      <c r="K8" s="36">
        <f>Jawaban!K8</f>
        <v>0</v>
      </c>
      <c r="L8" s="54">
        <f>Jawaban!L8</f>
        <v>0</v>
      </c>
      <c r="M8" s="55"/>
      <c r="N8" s="36"/>
      <c r="O8" s="36">
        <f>AVERAGE(O9:O11)*H8</f>
        <v>1</v>
      </c>
      <c r="P8" s="38">
        <f>O8/H8</f>
        <v>1</v>
      </c>
      <c r="Q8" s="39"/>
      <c r="R8" s="51">
        <f>Jawaban!R8</f>
        <v>0</v>
      </c>
      <c r="S8" s="51">
        <f>Jawaban!S8</f>
        <v>0</v>
      </c>
      <c r="T8" s="51">
        <f>Jawaban!T8</f>
        <v>0</v>
      </c>
      <c r="U8" s="51">
        <f>Jawaban!U8</f>
        <v>0</v>
      </c>
      <c r="V8" s="51">
        <f>Jawaban!V8</f>
        <v>0</v>
      </c>
    </row>
    <row r="9" ht="147" customHeight="1" spans="1:22">
      <c r="A9" s="12">
        <v>10</v>
      </c>
      <c r="B9" s="29"/>
      <c r="C9" s="35"/>
      <c r="D9" s="35"/>
      <c r="E9" s="35"/>
      <c r="F9" s="40" t="s">
        <v>54</v>
      </c>
      <c r="G9" s="41" t="s">
        <v>70</v>
      </c>
      <c r="H9" s="42"/>
      <c r="I9" s="41" t="s">
        <v>71</v>
      </c>
      <c r="J9" s="44" t="s">
        <v>57</v>
      </c>
      <c r="K9" s="44" t="str">
        <f>Jawaban!K9</f>
        <v>Ya</v>
      </c>
      <c r="L9" s="56">
        <f>Jawaban!L9</f>
        <v>0</v>
      </c>
      <c r="M9" s="41" t="s">
        <v>72</v>
      </c>
      <c r="N9" s="176" t="s">
        <v>58</v>
      </c>
      <c r="O9" s="47">
        <f t="shared" ref="O9:O11" si="2">IF(J9="Ya/Tidak",IF(N9="Ya",1,IF(N9="Tidak",0,"Blm Diisi")),IF(J9="A/B/C",IF(N9="A",1,IF(N9="B",0.5,IF(N9="C",0,"Blm Diisi"))),IF(J9="A/B/C/D",IF(N9="A",1,IF(N9="B",0.67,IF(N9="C",0.33,IF(N9="D",0,"Blm Diisi")))),IF(J9="A/B/C/D/E",IF(N9="A",1,IF(N9="B",0.75,IF(N9="C",0.5,IF(N9="D",0.25,IF(N9="E",0,"Blm Diisi"))))),IF(J9="%",IF(N9="","Blm Diisi",N9),IF(J9="Jumlah",IF(N9="","Blm Diisi",""),IF(J9="Rupiah",IF(N9="","Blm Diisi",""),IF(J9="","","-"))))))))</f>
        <v>1</v>
      </c>
      <c r="P9" s="48"/>
      <c r="Q9" s="177" t="s">
        <v>593</v>
      </c>
      <c r="R9" s="178" t="str">
        <f>Jawaban!R9</f>
        <v>a. Terdapat dokumen rencana kerja pembangunan Zona Integritas menuju WBK/WBBM.</v>
      </c>
      <c r="S9" s="51">
        <f>Jawaban!S9</f>
        <v>0</v>
      </c>
      <c r="T9" s="51">
        <f>Jawaban!T9</f>
        <v>0</v>
      </c>
      <c r="U9" s="51">
        <f>Jawaban!U9</f>
        <v>0</v>
      </c>
      <c r="V9" s="51">
        <f>Jawaban!V9</f>
        <v>0</v>
      </c>
    </row>
    <row r="10" ht="147" customHeight="1" spans="1:22">
      <c r="A10" s="12">
        <v>11</v>
      </c>
      <c r="B10" s="29"/>
      <c r="C10" s="35"/>
      <c r="D10" s="35"/>
      <c r="E10" s="35"/>
      <c r="F10" s="40" t="s">
        <v>61</v>
      </c>
      <c r="G10" s="41" t="s">
        <v>74</v>
      </c>
      <c r="H10" s="42"/>
      <c r="I10" s="51" t="s">
        <v>75</v>
      </c>
      <c r="J10" s="44" t="s">
        <v>64</v>
      </c>
      <c r="K10" s="44" t="str">
        <f>Jawaban!K10</f>
        <v>A</v>
      </c>
      <c r="L10" s="56">
        <f>Jawaban!L10</f>
        <v>0</v>
      </c>
      <c r="M10" s="51" t="s">
        <v>76</v>
      </c>
      <c r="N10" s="176" t="s">
        <v>65</v>
      </c>
      <c r="O10" s="47">
        <f t="shared" si="2"/>
        <v>1</v>
      </c>
      <c r="P10" s="48"/>
      <c r="Q10" s="180" t="s">
        <v>593</v>
      </c>
      <c r="R10" s="178" t="str">
        <f>Jawaban!R10</f>
        <v>b. Dalam dokumen pembangunan terdapat target-target prioritas yang relevan dengan tujuan pembangunan WBK/WBBM.</v>
      </c>
      <c r="S10" s="51">
        <f>Jawaban!S10</f>
        <v>0</v>
      </c>
      <c r="T10" s="51">
        <f>Jawaban!T10</f>
        <v>0</v>
      </c>
      <c r="U10" s="51">
        <f>Jawaban!U10</f>
        <v>0</v>
      </c>
      <c r="V10" s="51">
        <f>Jawaban!V10</f>
        <v>0</v>
      </c>
    </row>
    <row r="11" ht="409.5" spans="1:22">
      <c r="A11" s="12">
        <v>12</v>
      </c>
      <c r="B11" s="29"/>
      <c r="C11" s="35"/>
      <c r="D11" s="35"/>
      <c r="E11" s="35"/>
      <c r="F11" s="40" t="s">
        <v>78</v>
      </c>
      <c r="G11" s="41" t="s">
        <v>79</v>
      </c>
      <c r="H11" s="42"/>
      <c r="I11" s="51" t="s">
        <v>80</v>
      </c>
      <c r="J11" s="44" t="s">
        <v>64</v>
      </c>
      <c r="K11" s="44" t="str">
        <f>Jawaban!K11</f>
        <v>A</v>
      </c>
      <c r="L11" s="56">
        <f>Jawaban!L11</f>
        <v>0</v>
      </c>
      <c r="M11" s="51" t="s">
        <v>81</v>
      </c>
      <c r="N11" s="176" t="s">
        <v>65</v>
      </c>
      <c r="O11" s="47">
        <f t="shared" si="2"/>
        <v>1</v>
      </c>
      <c r="P11" s="48"/>
      <c r="Q11" s="179" t="s">
        <v>593</v>
      </c>
      <c r="R11" s="178" t="str">
        <f>Jawaban!R11</f>
        <v>c. Terdapat mekanisme atau media untuk mensosialisasikan pembangunan WBK/WBBM.</v>
      </c>
      <c r="S11" s="51">
        <f>Jawaban!S11</f>
        <v>0</v>
      </c>
      <c r="T11" s="51">
        <f>Jawaban!T11</f>
        <v>0</v>
      </c>
      <c r="U11" s="51">
        <f>Jawaban!U11</f>
        <v>0</v>
      </c>
      <c r="V11" s="51">
        <f>Jawaban!V11</f>
        <v>0</v>
      </c>
    </row>
    <row r="12" ht="15.75" spans="1:22">
      <c r="A12" s="12">
        <v>13</v>
      </c>
      <c r="B12" s="30"/>
      <c r="C12" s="35"/>
      <c r="D12" s="35"/>
      <c r="E12" s="35" t="s">
        <v>83</v>
      </c>
      <c r="F12" s="29" t="s">
        <v>84</v>
      </c>
      <c r="G12" s="30"/>
      <c r="H12" s="36">
        <v>1</v>
      </c>
      <c r="I12" s="37"/>
      <c r="J12" s="36"/>
      <c r="K12" s="36">
        <f>Jawaban!K12</f>
        <v>0</v>
      </c>
      <c r="L12" s="54">
        <f>Jawaban!L12</f>
        <v>0</v>
      </c>
      <c r="M12" s="58"/>
      <c r="N12" s="36"/>
      <c r="O12" s="36">
        <f>AVERAGE(O13:O15)*H12</f>
        <v>1</v>
      </c>
      <c r="P12" s="38">
        <f>O12/H12</f>
        <v>1</v>
      </c>
      <c r="Q12" s="39"/>
      <c r="R12" s="51">
        <f>Jawaban!R12</f>
        <v>0</v>
      </c>
      <c r="S12" s="51">
        <f>Jawaban!S12</f>
        <v>0</v>
      </c>
      <c r="T12" s="51">
        <f>Jawaban!T12</f>
        <v>0</v>
      </c>
      <c r="U12" s="51">
        <f>Jawaban!U12</f>
        <v>0</v>
      </c>
      <c r="V12" s="51">
        <f>Jawaban!V12</f>
        <v>0</v>
      </c>
    </row>
    <row r="13" ht="157.5" spans="1:22">
      <c r="A13" s="12">
        <v>14</v>
      </c>
      <c r="B13" s="29"/>
      <c r="C13" s="35"/>
      <c r="D13" s="35"/>
      <c r="E13" s="35"/>
      <c r="F13" s="40" t="s">
        <v>54</v>
      </c>
      <c r="G13" s="41" t="s">
        <v>85</v>
      </c>
      <c r="H13" s="42"/>
      <c r="I13" s="51" t="s">
        <v>86</v>
      </c>
      <c r="J13" s="59" t="s">
        <v>87</v>
      </c>
      <c r="K13" s="44" t="str">
        <f>Jawaban!K13</f>
        <v>A</v>
      </c>
      <c r="L13" s="52">
        <f>Jawaban!L13</f>
        <v>0</v>
      </c>
      <c r="M13" s="51" t="s">
        <v>88</v>
      </c>
      <c r="N13" s="176" t="s">
        <v>65</v>
      </c>
      <c r="O13" s="47">
        <f t="shared" ref="O13:O15" si="3">IF(J13="Ya/Tidak",IF(N13="Ya",1,IF(N13="Tidak",0,"Blm Diisi")),IF(J13="A/B/C",IF(N13="A",1,IF(N13="B",0.5,IF(N13="C",0,"Blm Diisi"))),IF(J13="A/B/C/D",IF(N13="A",1,IF(N13="B",0.67,IF(N13="C",0.33,IF(N13="D",0,"Blm Diisi")))),IF(J13="A/B/C/D/E",IF(N13="A",1,IF(N13="B",0.75,IF(N13="C",0.5,IF(N13="D",0.25,IF(N13="E",0,"Blm Diisi"))))),IF(J13="%",IF(N13="","Blm Diisi",N13),IF(J13="Jumlah",IF(N13="","Blm Diisi",""),IF(J13="Rupiah",IF(N13="","Blm Diisi",""),IF(J13="","","-"))))))))</f>
        <v>1</v>
      </c>
      <c r="P13" s="48"/>
      <c r="Q13" s="177" t="s">
        <v>593</v>
      </c>
      <c r="R13" s="178" t="str">
        <f>Jawaban!R13</f>
        <v>a. Seluruh kegiatan pembangunan sudah dilaksanakan sesuai dengan rencana.</v>
      </c>
      <c r="S13" s="51">
        <f>Jawaban!S13</f>
        <v>0</v>
      </c>
      <c r="T13" s="51">
        <f>Jawaban!T13</f>
        <v>0</v>
      </c>
      <c r="U13" s="51">
        <f>Jawaban!U13</f>
        <v>0</v>
      </c>
      <c r="V13" s="51">
        <f>Jawaban!V13</f>
        <v>0</v>
      </c>
    </row>
    <row r="14" ht="154.5" customHeight="1" spans="1:22">
      <c r="A14" s="60">
        <v>15</v>
      </c>
      <c r="B14" s="29"/>
      <c r="C14" s="35"/>
      <c r="D14" s="35"/>
      <c r="E14" s="35"/>
      <c r="F14" s="40" t="s">
        <v>61</v>
      </c>
      <c r="G14" s="41" t="s">
        <v>90</v>
      </c>
      <c r="H14" s="42"/>
      <c r="I14" s="51" t="s">
        <v>91</v>
      </c>
      <c r="J14" s="59" t="s">
        <v>87</v>
      </c>
      <c r="K14" s="44" t="str">
        <f>Jawaban!K14</f>
        <v>A</v>
      </c>
      <c r="L14" s="52">
        <f>Jawaban!L14</f>
        <v>0</v>
      </c>
      <c r="M14" s="51" t="s">
        <v>92</v>
      </c>
      <c r="N14" s="176" t="s">
        <v>65</v>
      </c>
      <c r="O14" s="47">
        <f t="shared" si="3"/>
        <v>1</v>
      </c>
      <c r="P14" s="48"/>
      <c r="Q14" s="179" t="s">
        <v>593</v>
      </c>
      <c r="R14" s="178" t="str">
        <f>Jawaban!R14</f>
        <v>b. Terdapat monitoring dan evaluasi terhadap pembangunan Zona Integritas.</v>
      </c>
      <c r="S14" s="51">
        <f>Jawaban!S14</f>
        <v>0</v>
      </c>
      <c r="T14" s="51">
        <f>Jawaban!T14</f>
        <v>0</v>
      </c>
      <c r="U14" s="51">
        <f>Jawaban!U14</f>
        <v>0</v>
      </c>
      <c r="V14" s="51">
        <f>Jawaban!V14</f>
        <v>0</v>
      </c>
    </row>
    <row r="15" ht="260.25" customHeight="1" spans="1:22">
      <c r="A15" s="12">
        <v>16</v>
      </c>
      <c r="B15" s="29"/>
      <c r="C15" s="35"/>
      <c r="D15" s="35"/>
      <c r="E15" s="35"/>
      <c r="F15" s="40" t="s">
        <v>78</v>
      </c>
      <c r="G15" s="41" t="s">
        <v>94</v>
      </c>
      <c r="H15" s="42"/>
      <c r="I15" s="51" t="s">
        <v>95</v>
      </c>
      <c r="J15" s="59" t="s">
        <v>87</v>
      </c>
      <c r="K15" s="44" t="str">
        <f>Jawaban!K15</f>
        <v>A</v>
      </c>
      <c r="L15" s="52">
        <f>Jawaban!L15</f>
        <v>0</v>
      </c>
      <c r="M15" s="51" t="s">
        <v>96</v>
      </c>
      <c r="N15" s="176" t="s">
        <v>65</v>
      </c>
      <c r="O15" s="47">
        <f t="shared" si="3"/>
        <v>1</v>
      </c>
      <c r="P15" s="48"/>
      <c r="Q15" s="179" t="s">
        <v>593</v>
      </c>
      <c r="R15" s="178" t="str">
        <f>Jawaban!R15</f>
        <v>c. Hasil Monitoring dan Evaluasi telah ditindaklanjuti.</v>
      </c>
      <c r="S15" s="51">
        <f>Jawaban!S15</f>
        <v>0</v>
      </c>
      <c r="T15" s="51">
        <f>Jawaban!T15</f>
        <v>0</v>
      </c>
      <c r="U15" s="51">
        <f>Jawaban!U15</f>
        <v>0</v>
      </c>
      <c r="V15" s="51">
        <f>Jawaban!V15</f>
        <v>0</v>
      </c>
    </row>
    <row r="16" ht="15.75" spans="1:22">
      <c r="A16" s="12">
        <v>17</v>
      </c>
      <c r="B16" s="30"/>
      <c r="C16" s="35"/>
      <c r="D16" s="35"/>
      <c r="E16" s="35" t="s">
        <v>98</v>
      </c>
      <c r="F16" s="29" t="s">
        <v>99</v>
      </c>
      <c r="G16" s="30"/>
      <c r="H16" s="36">
        <v>1.5</v>
      </c>
      <c r="I16" s="37"/>
      <c r="J16" s="36"/>
      <c r="K16" s="36">
        <f>Jawaban!K16</f>
        <v>0</v>
      </c>
      <c r="L16" s="54">
        <f>Jawaban!L16</f>
        <v>0</v>
      </c>
      <c r="M16" s="55"/>
      <c r="N16" s="36"/>
      <c r="O16" s="36">
        <f>AVERAGE(O17:O20)*H16</f>
        <v>1.5</v>
      </c>
      <c r="P16" s="38">
        <f>O16/H16</f>
        <v>1</v>
      </c>
      <c r="Q16" s="39"/>
      <c r="R16" s="51">
        <f>Jawaban!R16</f>
        <v>0</v>
      </c>
      <c r="S16" s="51">
        <f>Jawaban!S16</f>
        <v>0</v>
      </c>
      <c r="T16" s="51">
        <f>Jawaban!T16</f>
        <v>0</v>
      </c>
      <c r="U16" s="51">
        <f>Jawaban!U16</f>
        <v>0</v>
      </c>
      <c r="V16" s="51">
        <f>Jawaban!V16</f>
        <v>0</v>
      </c>
    </row>
    <row r="17" ht="409.5" spans="1:22">
      <c r="A17" s="12">
        <v>18</v>
      </c>
      <c r="B17" s="29"/>
      <c r="C17" s="35"/>
      <c r="D17" s="35"/>
      <c r="E17" s="35"/>
      <c r="F17" s="40" t="s">
        <v>54</v>
      </c>
      <c r="G17" s="41" t="s">
        <v>100</v>
      </c>
      <c r="H17" s="42"/>
      <c r="I17" s="41" t="s">
        <v>101</v>
      </c>
      <c r="J17" s="44" t="s">
        <v>57</v>
      </c>
      <c r="K17" s="44" t="str">
        <f>Jawaban!K17</f>
        <v>Ya</v>
      </c>
      <c r="L17" s="56">
        <f>Jawaban!L17</f>
        <v>0</v>
      </c>
      <c r="M17" s="41" t="s">
        <v>102</v>
      </c>
      <c r="N17" s="176" t="s">
        <v>58</v>
      </c>
      <c r="O17" s="47">
        <f t="shared" ref="O17:O20" si="4">IF(J17="Ya/Tidak",IF(N17="Ya",1,IF(N17="Tidak",0,"Blm Diisi")),IF(J17="A/B/C",IF(N17="A",1,IF(N17="B",0.5,IF(N17="C",0,"Blm Diisi"))),IF(J17="A/B/C/D",IF(N17="A",1,IF(N17="B",0.67,IF(N17="C",0.33,IF(N17="D",0,"Blm Diisi")))),IF(J17="A/B/C/D/E",IF(N17="A",1,IF(N17="B",0.75,IF(N17="C",0.5,IF(N17="D",0.25,IF(N17="E",0,"Blm Diisi"))))),IF(J17="%",IF(N17="","Blm Diisi",N17),IF(J17="Jumlah",IF(N17="","Blm Diisi",""),IF(J17="Rupiah",IF(N17="","Blm Diisi",""),IF(J17="","","-"))))))))</f>
        <v>1</v>
      </c>
      <c r="P17" s="48"/>
      <c r="Q17" s="181" t="s">
        <v>593</v>
      </c>
      <c r="R17" s="178" t="str">
        <f>Jawaban!R17</f>
        <v>a. Pimpinan berperan sebagai role model dalam pelaksanaan Pembangunan WBK/WBBM.</v>
      </c>
      <c r="S17" s="51">
        <f>Jawaban!S17</f>
        <v>0</v>
      </c>
      <c r="T17" s="51">
        <f>Jawaban!T17</f>
        <v>0</v>
      </c>
      <c r="U17" s="51">
        <f>Jawaban!U17</f>
        <v>0</v>
      </c>
      <c r="V17" s="51">
        <f>Jawaban!V17</f>
        <v>0</v>
      </c>
    </row>
    <row r="18" ht="236.25" spans="1:22">
      <c r="A18" s="12">
        <v>19</v>
      </c>
      <c r="B18" s="29"/>
      <c r="C18" s="35"/>
      <c r="D18" s="35"/>
      <c r="E18" s="35"/>
      <c r="F18" s="40" t="s">
        <v>61</v>
      </c>
      <c r="G18" s="41" t="s">
        <v>104</v>
      </c>
      <c r="H18" s="42"/>
      <c r="I18" s="51" t="s">
        <v>105</v>
      </c>
      <c r="J18" s="44" t="s">
        <v>64</v>
      </c>
      <c r="K18" s="44" t="str">
        <f>Jawaban!K18</f>
        <v>A</v>
      </c>
      <c r="L18" s="56">
        <f>Jawaban!L18</f>
        <v>0</v>
      </c>
      <c r="M18" s="51" t="s">
        <v>106</v>
      </c>
      <c r="N18" s="176" t="s">
        <v>65</v>
      </c>
      <c r="O18" s="47">
        <f t="shared" si="4"/>
        <v>1</v>
      </c>
      <c r="P18" s="48"/>
      <c r="Q18" s="182" t="s">
        <v>593</v>
      </c>
      <c r="R18" s="178" t="str">
        <f>Jawaban!R18</f>
        <v>b. Sudah ditetapkan agen perubahan.</v>
      </c>
      <c r="S18" s="51">
        <f>Jawaban!S18</f>
        <v>0</v>
      </c>
      <c r="T18" s="51">
        <f>Jawaban!T18</f>
        <v>0</v>
      </c>
      <c r="U18" s="51">
        <f>Jawaban!U18</f>
        <v>0</v>
      </c>
      <c r="V18" s="51">
        <f>Jawaban!V18</f>
        <v>0</v>
      </c>
    </row>
    <row r="19" ht="340.5" customHeight="1" spans="1:22">
      <c r="A19" s="12">
        <v>20</v>
      </c>
      <c r="B19" s="29"/>
      <c r="C19" s="35"/>
      <c r="D19" s="35"/>
      <c r="E19" s="35"/>
      <c r="F19" s="40" t="s">
        <v>78</v>
      </c>
      <c r="G19" s="41" t="s">
        <v>108</v>
      </c>
      <c r="H19" s="42"/>
      <c r="I19" s="51" t="s">
        <v>109</v>
      </c>
      <c r="J19" s="44" t="s">
        <v>64</v>
      </c>
      <c r="K19" s="44" t="str">
        <f>Jawaban!K19</f>
        <v>A</v>
      </c>
      <c r="L19" s="56">
        <f>Jawaban!L19</f>
        <v>0</v>
      </c>
      <c r="M19" s="51" t="s">
        <v>110</v>
      </c>
      <c r="N19" s="176" t="s">
        <v>65</v>
      </c>
      <c r="O19" s="47">
        <f t="shared" si="4"/>
        <v>1</v>
      </c>
      <c r="P19" s="48"/>
      <c r="Q19" s="180" t="s">
        <v>593</v>
      </c>
      <c r="R19" s="178" t="str">
        <f>Jawaban!R19</f>
        <v>c. Telah dibangun budaya kerja dan pola pikir di lingkungan organisasi.</v>
      </c>
      <c r="S19" s="51">
        <f>Jawaban!S19</f>
        <v>0</v>
      </c>
      <c r="T19" s="51">
        <f>Jawaban!T19</f>
        <v>0</v>
      </c>
      <c r="U19" s="51">
        <f>Jawaban!U19</f>
        <v>0</v>
      </c>
      <c r="V19" s="51">
        <f>Jawaban!V19</f>
        <v>0</v>
      </c>
    </row>
    <row r="20" ht="295.5" customHeight="1" spans="1:22">
      <c r="A20" s="12">
        <v>21</v>
      </c>
      <c r="B20" s="29"/>
      <c r="C20" s="35"/>
      <c r="D20" s="35"/>
      <c r="E20" s="35"/>
      <c r="F20" s="40" t="s">
        <v>112</v>
      </c>
      <c r="G20" s="41" t="s">
        <v>113</v>
      </c>
      <c r="H20" s="42"/>
      <c r="I20" s="51" t="s">
        <v>114</v>
      </c>
      <c r="J20" s="59" t="s">
        <v>87</v>
      </c>
      <c r="K20" s="44" t="str">
        <f>Jawaban!K20</f>
        <v>A</v>
      </c>
      <c r="L20" s="52">
        <f>Jawaban!L20</f>
        <v>0</v>
      </c>
      <c r="M20" s="41" t="s">
        <v>115</v>
      </c>
      <c r="N20" s="176" t="s">
        <v>65</v>
      </c>
      <c r="O20" s="47">
        <f t="shared" si="4"/>
        <v>1</v>
      </c>
      <c r="P20" s="48"/>
      <c r="Q20" s="179" t="s">
        <v>593</v>
      </c>
      <c r="R20" s="178" t="str">
        <f>Jawaban!R20</f>
        <v>d. Anggota organisasi terlibat dalam pembangunan Zona Integritas menuju WBK/WBBM.</v>
      </c>
      <c r="S20" s="51">
        <f>Jawaban!S20</f>
        <v>0</v>
      </c>
      <c r="T20" s="51">
        <f>Jawaban!T20</f>
        <v>0</v>
      </c>
      <c r="U20" s="51">
        <f>Jawaban!U20</f>
        <v>0</v>
      </c>
      <c r="V20" s="51">
        <f>Jawaban!V20</f>
        <v>0</v>
      </c>
    </row>
    <row r="21" ht="15.75" customHeight="1" spans="1:22">
      <c r="A21" s="12">
        <v>22</v>
      </c>
      <c r="B21" s="26"/>
      <c r="C21" s="61"/>
      <c r="D21" s="28" t="s">
        <v>13</v>
      </c>
      <c r="E21" s="29" t="s">
        <v>14</v>
      </c>
      <c r="F21" s="29"/>
      <c r="G21" s="30"/>
      <c r="H21" s="31">
        <v>3.5</v>
      </c>
      <c r="I21" s="32"/>
      <c r="J21" s="31"/>
      <c r="K21" s="31">
        <f>Jawaban!K21</f>
        <v>0</v>
      </c>
      <c r="L21" s="54">
        <f>Jawaban!L21</f>
        <v>0</v>
      </c>
      <c r="M21" s="55"/>
      <c r="N21" s="183"/>
      <c r="O21" s="31">
        <f>SUM(O22,O26,O31)</f>
        <v>3.5</v>
      </c>
      <c r="P21" s="33">
        <f t="shared" ref="P21:P22" si="5">O21/H21</f>
        <v>1</v>
      </c>
      <c r="Q21" s="34"/>
      <c r="R21" s="51">
        <f>Jawaban!R21</f>
        <v>0</v>
      </c>
      <c r="S21" s="51">
        <f>Jawaban!S21</f>
        <v>0</v>
      </c>
      <c r="T21" s="51">
        <f>Jawaban!T21</f>
        <v>0</v>
      </c>
      <c r="U21" s="51">
        <f>Jawaban!U21</f>
        <v>0</v>
      </c>
      <c r="V21" s="51">
        <f>Jawaban!V21</f>
        <v>0</v>
      </c>
    </row>
    <row r="22" ht="15.75" customHeight="1" spans="1:22">
      <c r="A22" s="12">
        <v>23</v>
      </c>
      <c r="B22" s="30"/>
      <c r="C22" s="35"/>
      <c r="D22" s="35"/>
      <c r="E22" s="35" t="s">
        <v>52</v>
      </c>
      <c r="F22" s="29" t="s">
        <v>117</v>
      </c>
      <c r="G22" s="30"/>
      <c r="H22" s="36">
        <v>1</v>
      </c>
      <c r="I22" s="37"/>
      <c r="J22" s="36"/>
      <c r="K22" s="36">
        <f>Jawaban!K22</f>
        <v>0</v>
      </c>
      <c r="L22" s="54">
        <f>Jawaban!L22</f>
        <v>0</v>
      </c>
      <c r="M22" s="55"/>
      <c r="N22" s="184"/>
      <c r="O22" s="36">
        <f>AVERAGE(O23:O25)*H22</f>
        <v>1</v>
      </c>
      <c r="P22" s="38">
        <f t="shared" si="5"/>
        <v>1</v>
      </c>
      <c r="Q22" s="185"/>
      <c r="R22" s="51">
        <f>Jawaban!R22</f>
        <v>0</v>
      </c>
      <c r="S22" s="51">
        <f>Jawaban!S22</f>
        <v>0</v>
      </c>
      <c r="T22" s="51">
        <f>Jawaban!T22</f>
        <v>0</v>
      </c>
      <c r="U22" s="51">
        <f>Jawaban!U22</f>
        <v>0</v>
      </c>
      <c r="V22" s="51">
        <f>Jawaban!V22</f>
        <v>0</v>
      </c>
    </row>
    <row r="23" ht="274.5" customHeight="1" spans="1:22">
      <c r="A23" s="62">
        <v>24</v>
      </c>
      <c r="B23" s="63"/>
      <c r="C23" s="64"/>
      <c r="D23" s="64"/>
      <c r="E23" s="64"/>
      <c r="F23" s="65" t="s">
        <v>54</v>
      </c>
      <c r="G23" s="66" t="s">
        <v>118</v>
      </c>
      <c r="H23" s="67"/>
      <c r="I23" s="68" t="s">
        <v>119</v>
      </c>
      <c r="J23" s="69" t="s">
        <v>87</v>
      </c>
      <c r="K23" s="44" t="str">
        <f>Jawaban!K23</f>
        <v>A</v>
      </c>
      <c r="L23" s="70">
        <f>Jawaban!L23</f>
        <v>0</v>
      </c>
      <c r="M23" s="51" t="s">
        <v>120</v>
      </c>
      <c r="N23" s="176" t="s">
        <v>65</v>
      </c>
      <c r="O23" s="47">
        <f t="shared" ref="O23:O25" si="6">IF(J23="Ya/Tidak",IF(N23="Ya",1,IF(N23="Tidak",0,"Blm Diisi")),IF(J23="A/B/C",IF(N23="A",1,IF(N23="B",0.5,IF(N23="C",0,"Blm Diisi"))),IF(J23="A/B/C/D",IF(N23="A",1,IF(N23="B",0.67,IF(N23="C",0.33,IF(N23="D",0,"Blm Diisi")))),IF(J23="A/B/C/D/E",IF(N23="A",1,IF(N23="B",0.75,IF(N23="C",0.5,IF(N23="D",0.25,IF(N23="E",0,"Blm Diisi"))))),IF(J23="%",IF(N23="","Blm Diisi",N23),IF(J23="Jumlah",IF(N23="","Blm Diisi",""),IF(J23="Rupiah",IF(N23="","Blm Diisi",""),IF(J23="","","-"))))))))</f>
        <v>1</v>
      </c>
      <c r="P23" s="48"/>
      <c r="Q23" s="177" t="s">
        <v>593</v>
      </c>
      <c r="R23" s="178" t="str">
        <f>Jawaban!R23</f>
        <v>a. SOP mengacu pada peta proses bisnis instansi.</v>
      </c>
      <c r="S23" s="51">
        <f>Jawaban!S23</f>
        <v>0</v>
      </c>
      <c r="T23" s="51">
        <f>Jawaban!T23</f>
        <v>0</v>
      </c>
      <c r="U23" s="51">
        <f>Jawaban!U23</f>
        <v>0</v>
      </c>
      <c r="V23" s="51">
        <f>Jawaban!V23</f>
        <v>0</v>
      </c>
    </row>
    <row r="24" ht="15.75" customHeight="1" spans="1:22">
      <c r="A24" s="12">
        <v>25</v>
      </c>
      <c r="B24" s="29"/>
      <c r="C24" s="35"/>
      <c r="D24" s="35"/>
      <c r="E24" s="35"/>
      <c r="F24" s="40" t="s">
        <v>61</v>
      </c>
      <c r="G24" s="41" t="s">
        <v>122</v>
      </c>
      <c r="H24" s="42"/>
      <c r="I24" s="51" t="s">
        <v>123</v>
      </c>
      <c r="J24" s="59" t="s">
        <v>124</v>
      </c>
      <c r="K24" s="44" t="str">
        <f>Jawaban!K24</f>
        <v>A</v>
      </c>
      <c r="L24" s="52">
        <f>Jawaban!L24</f>
        <v>0</v>
      </c>
      <c r="M24" s="51" t="s">
        <v>125</v>
      </c>
      <c r="N24" s="176" t="s">
        <v>65</v>
      </c>
      <c r="O24" s="47">
        <f t="shared" si="6"/>
        <v>1</v>
      </c>
      <c r="P24" s="48"/>
      <c r="Q24" s="180" t="s">
        <v>593</v>
      </c>
      <c r="R24" s="178" t="str">
        <f>Jawaban!R24</f>
        <v>b. Prosedur operasional tetap (SOP) telah diterapkan.</v>
      </c>
      <c r="S24" s="51">
        <f>Jawaban!S24</f>
        <v>0</v>
      </c>
      <c r="T24" s="51">
        <f>Jawaban!T24</f>
        <v>0</v>
      </c>
      <c r="U24" s="51">
        <f>Jawaban!U24</f>
        <v>0</v>
      </c>
      <c r="V24" s="51">
        <f>Jawaban!V24</f>
        <v>0</v>
      </c>
    </row>
    <row r="25" ht="15.75" customHeight="1" spans="1:22">
      <c r="A25" s="12">
        <v>26</v>
      </c>
      <c r="B25" s="29"/>
      <c r="C25" s="35"/>
      <c r="D25" s="35"/>
      <c r="E25" s="35"/>
      <c r="F25" s="40" t="s">
        <v>78</v>
      </c>
      <c r="G25" s="41" t="s">
        <v>127</v>
      </c>
      <c r="H25" s="42"/>
      <c r="I25" s="51" t="s">
        <v>128</v>
      </c>
      <c r="J25" s="59" t="s">
        <v>124</v>
      </c>
      <c r="K25" s="44" t="str">
        <f>Jawaban!K25</f>
        <v>A</v>
      </c>
      <c r="L25" s="52">
        <f>Jawaban!L25</f>
        <v>0</v>
      </c>
      <c r="M25" s="51" t="s">
        <v>129</v>
      </c>
      <c r="N25" s="176" t="s">
        <v>65</v>
      </c>
      <c r="O25" s="47">
        <f t="shared" si="6"/>
        <v>1</v>
      </c>
      <c r="P25" s="48"/>
      <c r="Q25" s="179" t="s">
        <v>593</v>
      </c>
      <c r="R25" s="178" t="str">
        <f>Jawaban!R25</f>
        <v>c. Prosedur operasional tetap (SOP) telah dievaluasi.</v>
      </c>
      <c r="S25" s="51">
        <f>Jawaban!S25</f>
        <v>0</v>
      </c>
      <c r="T25" s="51">
        <f>Jawaban!T25</f>
        <v>0</v>
      </c>
      <c r="U25" s="51">
        <f>Jawaban!U25</f>
        <v>0</v>
      </c>
      <c r="V25" s="51">
        <f>Jawaban!V25</f>
        <v>0</v>
      </c>
    </row>
    <row r="26" ht="15.75" customHeight="1" spans="1:22">
      <c r="A26" s="12">
        <v>27</v>
      </c>
      <c r="B26" s="30"/>
      <c r="C26" s="35"/>
      <c r="D26" s="35"/>
      <c r="E26" s="35" t="s">
        <v>68</v>
      </c>
      <c r="F26" s="29" t="s">
        <v>131</v>
      </c>
      <c r="G26" s="30"/>
      <c r="H26" s="36">
        <v>2</v>
      </c>
      <c r="I26" s="37"/>
      <c r="J26" s="36"/>
      <c r="K26" s="36">
        <f>Jawaban!K26</f>
        <v>0</v>
      </c>
      <c r="L26" s="54">
        <f>Jawaban!L26</f>
        <v>0</v>
      </c>
      <c r="M26" s="55"/>
      <c r="N26" s="36"/>
      <c r="O26" s="36">
        <f>AVERAGE(O27:O30)*H26</f>
        <v>2</v>
      </c>
      <c r="P26" s="38">
        <f>O26/H26</f>
        <v>1</v>
      </c>
      <c r="Q26" s="39"/>
      <c r="R26" s="51">
        <f>Jawaban!R26</f>
        <v>0</v>
      </c>
      <c r="S26" s="51">
        <f>Jawaban!S26</f>
        <v>0</v>
      </c>
      <c r="T26" s="51">
        <f>Jawaban!T26</f>
        <v>0</v>
      </c>
      <c r="U26" s="51">
        <f>Jawaban!U26</f>
        <v>0</v>
      </c>
      <c r="V26" s="51">
        <f>Jawaban!V26</f>
        <v>0</v>
      </c>
    </row>
    <row r="27" ht="15.75" customHeight="1" spans="1:22">
      <c r="A27" s="12">
        <v>28</v>
      </c>
      <c r="B27" s="29"/>
      <c r="C27" s="35"/>
      <c r="D27" s="35"/>
      <c r="E27" s="35"/>
      <c r="F27" s="40" t="s">
        <v>54</v>
      </c>
      <c r="G27" s="41" t="s">
        <v>132</v>
      </c>
      <c r="H27" s="42"/>
      <c r="I27" s="51" t="s">
        <v>133</v>
      </c>
      <c r="J27" s="59" t="s">
        <v>64</v>
      </c>
      <c r="K27" s="44" t="str">
        <f>Jawaban!K27</f>
        <v>A</v>
      </c>
      <c r="L27" s="56">
        <f>Jawaban!L27</f>
        <v>0</v>
      </c>
      <c r="M27" s="51" t="s">
        <v>594</v>
      </c>
      <c r="N27" s="176" t="s">
        <v>65</v>
      </c>
      <c r="O27" s="47">
        <f t="shared" ref="O27:O30" si="7">IF(J27="Ya/Tidak",IF(N27="Ya",1,IF(N27="Tidak",0,"Blm Diisi")),IF(J27="A/B/C",IF(N27="A",1,IF(N27="B",0.5,IF(N27="C",0,"Blm Diisi"))),IF(J27="A/B/C/D",IF(N27="A",1,IF(N27="B",0.67,IF(N27="C",0.33,IF(N27="D",0,"Blm Diisi")))),IF(J27="A/B/C/D/E",IF(N27="A",1,IF(N27="B",0.75,IF(N27="C",0.5,IF(N27="D",0.25,IF(N27="E",0,"Blm Diisi"))))),IF(J27="%",IF(N27="","Blm Diisi",N27),IF(J27="Jumlah",IF(N27="","Blm Diisi",""),IF(J27="Rupiah",IF(N27="","Blm Diisi",""),IF(J27="","","-"))))))))</f>
        <v>1</v>
      </c>
      <c r="P27" s="48"/>
      <c r="Q27" s="186" t="s">
        <v>593</v>
      </c>
      <c r="R27" s="178" t="str">
        <f>Jawaban!R27</f>
        <v>a. Sistem pengukuran kinerja unit sudah menggunakan teknologi informasi.</v>
      </c>
      <c r="S27" s="51">
        <f>Jawaban!S27</f>
        <v>0</v>
      </c>
      <c r="T27" s="51">
        <f>Jawaban!T27</f>
        <v>0</v>
      </c>
      <c r="U27" s="51">
        <f>Jawaban!U27</f>
        <v>0</v>
      </c>
      <c r="V27" s="51">
        <f>Jawaban!V27</f>
        <v>0</v>
      </c>
    </row>
    <row r="28" ht="15.75" customHeight="1" spans="1:22">
      <c r="A28" s="12">
        <v>29</v>
      </c>
      <c r="B28" s="29"/>
      <c r="C28" s="35"/>
      <c r="D28" s="35"/>
      <c r="E28" s="35"/>
      <c r="F28" s="40" t="s">
        <v>61</v>
      </c>
      <c r="G28" s="41" t="s">
        <v>136</v>
      </c>
      <c r="H28" s="42"/>
      <c r="I28" s="51" t="s">
        <v>137</v>
      </c>
      <c r="J28" s="59" t="s">
        <v>64</v>
      </c>
      <c r="K28" s="44" t="str">
        <f>Jawaban!K28</f>
        <v>A</v>
      </c>
      <c r="L28" s="52">
        <f>Jawaban!L28</f>
        <v>0</v>
      </c>
      <c r="M28" s="51" t="s">
        <v>138</v>
      </c>
      <c r="N28" s="176" t="s">
        <v>65</v>
      </c>
      <c r="O28" s="47">
        <f t="shared" si="7"/>
        <v>1</v>
      </c>
      <c r="P28" s="48"/>
      <c r="Q28" s="186" t="s">
        <v>593</v>
      </c>
      <c r="R28" s="178" t="str">
        <f>Jawaban!R28</f>
        <v>b. Operasionalisasi manajemen SDM sudah menggunakan teknologi informasi. </v>
      </c>
      <c r="S28" s="51">
        <f>Jawaban!S28</f>
        <v>0</v>
      </c>
      <c r="T28" s="51">
        <f>Jawaban!T28</f>
        <v>0</v>
      </c>
      <c r="U28" s="51">
        <f>Jawaban!U28</f>
        <v>0</v>
      </c>
      <c r="V28" s="51">
        <f>Jawaban!V28</f>
        <v>0</v>
      </c>
    </row>
    <row r="29" ht="15.75" customHeight="1" spans="1:22">
      <c r="A29" s="12">
        <v>30</v>
      </c>
      <c r="B29" s="29"/>
      <c r="C29" s="35"/>
      <c r="D29" s="35"/>
      <c r="E29" s="35"/>
      <c r="F29" s="40" t="s">
        <v>78</v>
      </c>
      <c r="G29" s="41" t="s">
        <v>140</v>
      </c>
      <c r="H29" s="42"/>
      <c r="I29" s="51" t="s">
        <v>141</v>
      </c>
      <c r="J29" s="59" t="s">
        <v>64</v>
      </c>
      <c r="K29" s="44" t="str">
        <f>Jawaban!K29</f>
        <v>A</v>
      </c>
      <c r="L29" s="56">
        <f>Jawaban!L29</f>
        <v>0</v>
      </c>
      <c r="M29" s="51" t="s">
        <v>142</v>
      </c>
      <c r="N29" s="176" t="s">
        <v>65</v>
      </c>
      <c r="O29" s="47">
        <f t="shared" si="7"/>
        <v>1</v>
      </c>
      <c r="P29" s="48"/>
      <c r="Q29" s="186" t="s">
        <v>593</v>
      </c>
      <c r="R29" s="178" t="str">
        <f>Jawaban!R29</f>
        <v>c.Pemberian pelayanan kepada publik sudah menggunakan teknologi informasi. </v>
      </c>
      <c r="S29" s="51">
        <f>Jawaban!S29</f>
        <v>0</v>
      </c>
      <c r="T29" s="51">
        <f>Jawaban!T29</f>
        <v>0</v>
      </c>
      <c r="U29" s="51">
        <f>Jawaban!U29</f>
        <v>0</v>
      </c>
      <c r="V29" s="51">
        <f>Jawaban!V29</f>
        <v>0</v>
      </c>
    </row>
    <row r="30" ht="280.5" customHeight="1" spans="1:22">
      <c r="A30" s="12">
        <v>31</v>
      </c>
      <c r="B30" s="29"/>
      <c r="C30" s="35"/>
      <c r="D30" s="35"/>
      <c r="E30" s="35"/>
      <c r="F30" s="40" t="s">
        <v>144</v>
      </c>
      <c r="G30" s="41" t="s">
        <v>145</v>
      </c>
      <c r="H30" s="42"/>
      <c r="I30" s="51" t="s">
        <v>146</v>
      </c>
      <c r="J30" s="59" t="s">
        <v>64</v>
      </c>
      <c r="K30" s="44" t="str">
        <f>Jawaban!K30</f>
        <v>A</v>
      </c>
      <c r="L30" s="52">
        <f>Jawaban!L30</f>
        <v>0</v>
      </c>
      <c r="M30" s="51" t="s">
        <v>147</v>
      </c>
      <c r="N30" s="176" t="s">
        <v>65</v>
      </c>
      <c r="O30" s="47">
        <f t="shared" si="7"/>
        <v>1</v>
      </c>
      <c r="P30" s="48"/>
      <c r="Q30" s="186" t="s">
        <v>593</v>
      </c>
      <c r="R30" s="178" t="str">
        <f>Jawaban!R30</f>
        <v>d. Telah dilakukan monitoring dan dan evaluasi terhadap pemanfaatan teknologi informasi dalam pengukuran kinerja unit, operasionalisasi SDM, dan pemberian layanan kepada publik.</v>
      </c>
      <c r="S30" s="51">
        <f>Jawaban!S30</f>
        <v>0</v>
      </c>
      <c r="T30" s="51">
        <f>Jawaban!T30</f>
        <v>0</v>
      </c>
      <c r="U30" s="51">
        <f>Jawaban!U30</f>
        <v>0</v>
      </c>
      <c r="V30" s="51">
        <f>Jawaban!V30</f>
        <v>0</v>
      </c>
    </row>
    <row r="31" ht="15.75" customHeight="1" spans="1:22">
      <c r="A31" s="12">
        <v>32</v>
      </c>
      <c r="B31" s="30"/>
      <c r="C31" s="35"/>
      <c r="D31" s="35"/>
      <c r="E31" s="35" t="s">
        <v>83</v>
      </c>
      <c r="F31" s="29" t="s">
        <v>149</v>
      </c>
      <c r="G31" s="30"/>
      <c r="H31" s="36">
        <v>0.5</v>
      </c>
      <c r="I31" s="37"/>
      <c r="J31" s="36"/>
      <c r="K31" s="36">
        <f>Jawaban!K31</f>
        <v>0</v>
      </c>
      <c r="L31" s="54">
        <f>Jawaban!L31</f>
        <v>0</v>
      </c>
      <c r="M31" s="55"/>
      <c r="N31" s="36"/>
      <c r="O31" s="36">
        <f>AVERAGE(O32:O33)*H31</f>
        <v>0.5</v>
      </c>
      <c r="P31" s="38">
        <f>O31/H31</f>
        <v>1</v>
      </c>
      <c r="Q31" s="39"/>
      <c r="R31" s="51">
        <f>Jawaban!R31</f>
        <v>0</v>
      </c>
      <c r="S31" s="51">
        <f>Jawaban!S31</f>
        <v>0</v>
      </c>
      <c r="T31" s="51">
        <f>Jawaban!T31</f>
        <v>0</v>
      </c>
      <c r="U31" s="51">
        <f>Jawaban!U31</f>
        <v>0</v>
      </c>
      <c r="V31" s="51">
        <f>Jawaban!V31</f>
        <v>0</v>
      </c>
    </row>
    <row r="32" ht="15.75" customHeight="1" spans="1:22">
      <c r="A32" s="12">
        <v>33</v>
      </c>
      <c r="B32" s="29"/>
      <c r="C32" s="35"/>
      <c r="D32" s="35"/>
      <c r="E32" s="35"/>
      <c r="F32" s="40" t="s">
        <v>54</v>
      </c>
      <c r="G32" s="41" t="s">
        <v>150</v>
      </c>
      <c r="H32" s="42"/>
      <c r="I32" s="51" t="s">
        <v>151</v>
      </c>
      <c r="J32" s="59" t="s">
        <v>64</v>
      </c>
      <c r="K32" s="44" t="str">
        <f>Jawaban!K32</f>
        <v>A</v>
      </c>
      <c r="L32" s="56">
        <f>Jawaban!L32</f>
        <v>0</v>
      </c>
      <c r="M32" s="51" t="s">
        <v>152</v>
      </c>
      <c r="N32" s="176" t="s">
        <v>65</v>
      </c>
      <c r="O32" s="47">
        <f t="shared" ref="O32:O33" si="8">IF(J32="Ya/Tidak",IF(N32="Ya",1,IF(N32="Tidak",0,"Blm Diisi")),IF(J32="A/B/C",IF(N32="A",1,IF(N32="B",0.5,IF(N32="C",0,"Blm Diisi"))),IF(J32="A/B/C/D",IF(N32="A",1,IF(N32="B",0.67,IF(N32="C",0.33,IF(N32="D",0,"Blm Diisi")))),IF(J32="A/B/C/D/E",IF(N32="A",1,IF(N32="B",0.75,IF(N32="C",0.5,IF(N32="D",0.25,IF(N32="E",0,"Blm Diisi"))))),IF(J32="%",IF(N32="","Blm Diisi",N32),IF(J32="Jumlah",IF(N32="","Blm Diisi",""),IF(J32="Rupiah",IF(N32="","Blm Diisi",""),IF(J32="","","-"))))))))</f>
        <v>1</v>
      </c>
      <c r="P32" s="48"/>
      <c r="Q32" s="187" t="s">
        <v>593</v>
      </c>
      <c r="R32" s="178" t="str">
        <f>Jawaban!R32</f>
        <v>a. Kebijakan tentang  keterbukaan informasi publik telah diterapkan</v>
      </c>
      <c r="S32" s="51">
        <f>Jawaban!S32</f>
        <v>0</v>
      </c>
      <c r="T32" s="51">
        <f>Jawaban!T32</f>
        <v>0</v>
      </c>
      <c r="U32" s="51">
        <f>Jawaban!U32</f>
        <v>0</v>
      </c>
      <c r="V32" s="51">
        <f>Jawaban!V32</f>
        <v>0</v>
      </c>
    </row>
    <row r="33" ht="15.75" customHeight="1" spans="1:22">
      <c r="A33" s="12">
        <v>34</v>
      </c>
      <c r="B33" s="29"/>
      <c r="C33" s="35"/>
      <c r="D33" s="35"/>
      <c r="E33" s="35"/>
      <c r="F33" s="40" t="s">
        <v>61</v>
      </c>
      <c r="G33" s="41" t="s">
        <v>154</v>
      </c>
      <c r="H33" s="42"/>
      <c r="I33" s="51" t="s">
        <v>155</v>
      </c>
      <c r="J33" s="59" t="s">
        <v>64</v>
      </c>
      <c r="K33" s="44" t="str">
        <f>Jawaban!K33</f>
        <v>A</v>
      </c>
      <c r="L33" s="73">
        <f>Jawaban!L33</f>
        <v>0</v>
      </c>
      <c r="M33" s="51" t="s">
        <v>156</v>
      </c>
      <c r="N33" s="176" t="s">
        <v>65</v>
      </c>
      <c r="O33" s="47">
        <f t="shared" si="8"/>
        <v>1</v>
      </c>
      <c r="P33" s="48"/>
      <c r="Q33" s="186" t="s">
        <v>593</v>
      </c>
      <c r="R33" s="178" t="str">
        <f>Jawaban!R33</f>
        <v>b. Telah dilakukan monitoring dan evaluasi pelaksanaan kebijakan keterbukaan informasi publik.</v>
      </c>
      <c r="S33" s="51">
        <f>Jawaban!S33</f>
        <v>0</v>
      </c>
      <c r="T33" s="51">
        <f>Jawaban!T33</f>
        <v>0</v>
      </c>
      <c r="U33" s="51">
        <f>Jawaban!U33</f>
        <v>0</v>
      </c>
      <c r="V33" s="51">
        <f>Jawaban!V33</f>
        <v>0</v>
      </c>
    </row>
    <row r="34" ht="15.75" customHeight="1" spans="1:22">
      <c r="A34" s="12">
        <v>35</v>
      </c>
      <c r="B34" s="26"/>
      <c r="C34" s="61"/>
      <c r="D34" s="28" t="s">
        <v>15</v>
      </c>
      <c r="E34" s="29" t="s">
        <v>16</v>
      </c>
      <c r="F34" s="29"/>
      <c r="G34" s="30"/>
      <c r="H34" s="31">
        <v>5</v>
      </c>
      <c r="I34" s="32"/>
      <c r="J34" s="31"/>
      <c r="K34" s="31">
        <f>Jawaban!K34</f>
        <v>0</v>
      </c>
      <c r="L34" s="54">
        <f>Jawaban!L34</f>
        <v>0</v>
      </c>
      <c r="M34" s="55"/>
      <c r="N34" s="31"/>
      <c r="O34" s="31">
        <f>SUM(O35,O39,O43,O50,O55,O57)</f>
        <v>5</v>
      </c>
      <c r="P34" s="33">
        <f t="shared" ref="P34:P35" si="9">O34/H34</f>
        <v>1</v>
      </c>
      <c r="Q34" s="34"/>
      <c r="R34" s="51">
        <f>Jawaban!R34</f>
        <v>0</v>
      </c>
      <c r="S34" s="51">
        <f>Jawaban!S34</f>
        <v>0</v>
      </c>
      <c r="T34" s="51">
        <f>Jawaban!T34</f>
        <v>0</v>
      </c>
      <c r="U34" s="51">
        <f>Jawaban!U34</f>
        <v>0</v>
      </c>
      <c r="V34" s="51">
        <f>Jawaban!V34</f>
        <v>0</v>
      </c>
    </row>
    <row r="35" ht="15.75" customHeight="1" spans="1:22">
      <c r="A35" s="12">
        <v>36</v>
      </c>
      <c r="B35" s="30"/>
      <c r="C35" s="35"/>
      <c r="D35" s="35"/>
      <c r="E35" s="35" t="s">
        <v>52</v>
      </c>
      <c r="F35" s="29" t="s">
        <v>158</v>
      </c>
      <c r="G35" s="30"/>
      <c r="H35" s="36">
        <v>0.25</v>
      </c>
      <c r="I35" s="37"/>
      <c r="J35" s="36"/>
      <c r="K35" s="36">
        <f>Jawaban!K35</f>
        <v>0</v>
      </c>
      <c r="L35" s="54">
        <f>Jawaban!L35</f>
        <v>0</v>
      </c>
      <c r="M35" s="55"/>
      <c r="N35" s="36"/>
      <c r="O35" s="36">
        <f>AVERAGE(O36:O38)*H35</f>
        <v>0.25</v>
      </c>
      <c r="P35" s="38">
        <f t="shared" si="9"/>
        <v>1</v>
      </c>
      <c r="Q35" s="39"/>
      <c r="R35" s="51">
        <f>Jawaban!R35</f>
        <v>0</v>
      </c>
      <c r="S35" s="51">
        <f>Jawaban!S35</f>
        <v>0</v>
      </c>
      <c r="T35" s="51">
        <f>Jawaban!T35</f>
        <v>0</v>
      </c>
      <c r="U35" s="51">
        <f>Jawaban!U35</f>
        <v>0</v>
      </c>
      <c r="V35" s="51">
        <f>Jawaban!V35</f>
        <v>0</v>
      </c>
    </row>
    <row r="36" ht="15.75" customHeight="1" spans="1:22">
      <c r="A36" s="12">
        <v>37</v>
      </c>
      <c r="B36" s="29"/>
      <c r="C36" s="35"/>
      <c r="D36" s="35"/>
      <c r="E36" s="35"/>
      <c r="F36" s="40" t="s">
        <v>54</v>
      </c>
      <c r="G36" s="41" t="s">
        <v>159</v>
      </c>
      <c r="H36" s="42"/>
      <c r="I36" s="41" t="s">
        <v>160</v>
      </c>
      <c r="J36" s="59" t="s">
        <v>57</v>
      </c>
      <c r="K36" s="44" t="str">
        <f>Jawaban!K36</f>
        <v>Ya</v>
      </c>
      <c r="L36" s="56">
        <f>Jawaban!L36</f>
        <v>0</v>
      </c>
      <c r="M36" s="41" t="s">
        <v>161</v>
      </c>
      <c r="N36" s="176" t="s">
        <v>58</v>
      </c>
      <c r="O36" s="47">
        <f t="shared" ref="O36:O38" si="10">IF(J36="Ya/Tidak",IF(N36="Ya",1,IF(N36="Tidak",0,"Blm Diisi")),IF(J36="A/B/C",IF(N36="A",1,IF(N36="B",0.5,IF(N36="C",0,"Blm Diisi"))),IF(J36="A/B/C/D",IF(N36="A",1,IF(N36="B",0.67,IF(N36="C",0.33,IF(N36="D",0,"Blm Diisi")))),IF(J36="A/B/C/D/E",IF(N36="A",1,IF(N36="B",0.75,IF(N36="C",0.5,IF(N36="D",0.25,IF(N36="E",0,"Blm Diisi"))))),IF(J36="%",IF(N36="","Blm Diisi",N36),IF(J36="Jumlah",IF(N36="","Blm Diisi",""),IF(J36="Rupiah",IF(N36="","Blm Diisi",""),IF(J36="","","-"))))))))</f>
        <v>1</v>
      </c>
      <c r="P36" s="48"/>
      <c r="Q36" s="177" t="s">
        <v>593</v>
      </c>
      <c r="R36" s="178" t="str">
        <f>Jawaban!R36</f>
        <v>a. Kebutuhan pegawai yang disusun oleh unit kerja mengacu kepada peta jabatan dan hasil analisis beban kerja untuk masing-masing jabatan.</v>
      </c>
      <c r="S36" s="51">
        <f>Jawaban!S36</f>
        <v>0</v>
      </c>
      <c r="T36" s="51">
        <f>Jawaban!T36</f>
        <v>0</v>
      </c>
      <c r="U36" s="51">
        <f>Jawaban!U36</f>
        <v>0</v>
      </c>
      <c r="V36" s="51">
        <f>Jawaban!V36</f>
        <v>0</v>
      </c>
    </row>
    <row r="37" ht="248.25" customHeight="1" spans="1:22">
      <c r="A37" s="12">
        <v>38</v>
      </c>
      <c r="B37" s="29"/>
      <c r="C37" s="35"/>
      <c r="D37" s="35"/>
      <c r="E37" s="35"/>
      <c r="F37" s="40" t="s">
        <v>61</v>
      </c>
      <c r="G37" s="41" t="s">
        <v>163</v>
      </c>
      <c r="H37" s="42"/>
      <c r="I37" s="51" t="s">
        <v>164</v>
      </c>
      <c r="J37" s="59" t="s">
        <v>87</v>
      </c>
      <c r="K37" s="44" t="str">
        <f>Jawaban!K37</f>
        <v>A</v>
      </c>
      <c r="L37" s="56">
        <f>Jawaban!L37</f>
        <v>0</v>
      </c>
      <c r="M37" s="51" t="s">
        <v>165</v>
      </c>
      <c r="N37" s="176" t="s">
        <v>65</v>
      </c>
      <c r="O37" s="47">
        <f t="shared" si="10"/>
        <v>1</v>
      </c>
      <c r="P37" s="48"/>
      <c r="Q37" s="177" t="s">
        <v>593</v>
      </c>
      <c r="R37" s="178" t="str">
        <f>Jawaban!R37</f>
        <v>b. Penempatan pegawai hasil rekrutmen murni mengacu kepada kebutuhan pegawai yang telah disusun per jabatan.</v>
      </c>
      <c r="S37" s="51">
        <f>Jawaban!S37</f>
        <v>0</v>
      </c>
      <c r="T37" s="51">
        <f>Jawaban!T37</f>
        <v>0</v>
      </c>
      <c r="U37" s="51">
        <f>Jawaban!U37</f>
        <v>0</v>
      </c>
      <c r="V37" s="51">
        <f>Jawaban!V37</f>
        <v>0</v>
      </c>
    </row>
    <row r="38" ht="15.75" customHeight="1" spans="1:22">
      <c r="A38" s="12">
        <v>39</v>
      </c>
      <c r="B38" s="29"/>
      <c r="C38" s="35"/>
      <c r="D38" s="35"/>
      <c r="E38" s="35"/>
      <c r="F38" s="40" t="s">
        <v>78</v>
      </c>
      <c r="G38" s="41" t="s">
        <v>167</v>
      </c>
      <c r="H38" s="42"/>
      <c r="I38" s="41" t="s">
        <v>168</v>
      </c>
      <c r="J38" s="59" t="s">
        <v>57</v>
      </c>
      <c r="K38" s="44" t="str">
        <f>Jawaban!K38</f>
        <v>Ya</v>
      </c>
      <c r="L38" s="52">
        <f>Jawaban!L38</f>
        <v>0</v>
      </c>
      <c r="M38" s="41" t="s">
        <v>169</v>
      </c>
      <c r="N38" s="176" t="s">
        <v>58</v>
      </c>
      <c r="O38" s="47">
        <f t="shared" si="10"/>
        <v>1</v>
      </c>
      <c r="P38" s="48"/>
      <c r="Q38" s="188" t="s">
        <v>593</v>
      </c>
      <c r="R38" s="178" t="str">
        <f>Jawaban!R38</f>
        <v>c. Telah dilakukan monitoring dan dan evaluasi terhadap penempatan pegawai rekrutmen untuk memenuhi kebutuhan jabatan dalam organisasi telah memberikan perbaikan terhadap kinerja unit kerja.</v>
      </c>
      <c r="S38" s="51">
        <f>Jawaban!S38</f>
        <v>0</v>
      </c>
      <c r="T38" s="51">
        <f>Jawaban!T38</f>
        <v>0</v>
      </c>
      <c r="U38" s="51">
        <f>Jawaban!U38</f>
        <v>0</v>
      </c>
      <c r="V38" s="51">
        <f>Jawaban!V38</f>
        <v>0</v>
      </c>
    </row>
    <row r="39" ht="15.75" customHeight="1" spans="1:22">
      <c r="A39" s="12">
        <v>40</v>
      </c>
      <c r="B39" s="30"/>
      <c r="C39" s="35"/>
      <c r="D39" s="35"/>
      <c r="E39" s="35" t="s">
        <v>68</v>
      </c>
      <c r="F39" s="29" t="s">
        <v>171</v>
      </c>
      <c r="G39" s="30"/>
      <c r="H39" s="36">
        <v>0.5</v>
      </c>
      <c r="I39" s="37"/>
      <c r="J39" s="36"/>
      <c r="K39" s="36">
        <f>Jawaban!K39</f>
        <v>0</v>
      </c>
      <c r="L39" s="54">
        <f>Jawaban!L39</f>
        <v>0</v>
      </c>
      <c r="M39" s="55"/>
      <c r="N39" s="36"/>
      <c r="O39" s="36">
        <f>AVERAGE(O40:O42)*H39</f>
        <v>0.5</v>
      </c>
      <c r="P39" s="38">
        <f>O39/H39</f>
        <v>1</v>
      </c>
      <c r="Q39" s="39"/>
      <c r="R39" s="51">
        <f>Jawaban!R39</f>
        <v>0</v>
      </c>
      <c r="S39" s="51">
        <f>Jawaban!S39</f>
        <v>0</v>
      </c>
      <c r="T39" s="51">
        <f>Jawaban!T39</f>
        <v>0</v>
      </c>
      <c r="U39" s="51">
        <f>Jawaban!U39</f>
        <v>0</v>
      </c>
      <c r="V39" s="51">
        <f>Jawaban!V39</f>
        <v>0</v>
      </c>
    </row>
    <row r="40" ht="252" customHeight="1" spans="1:22">
      <c r="A40" s="12">
        <v>41</v>
      </c>
      <c r="B40" s="29"/>
      <c r="C40" s="35"/>
      <c r="D40" s="35"/>
      <c r="E40" s="35"/>
      <c r="F40" s="40" t="s">
        <v>54</v>
      </c>
      <c r="G40" s="41" t="s">
        <v>172</v>
      </c>
      <c r="H40" s="42"/>
      <c r="I40" s="41" t="s">
        <v>173</v>
      </c>
      <c r="J40" s="59" t="s">
        <v>57</v>
      </c>
      <c r="K40" s="44" t="str">
        <f>Jawaban!K40</f>
        <v>Ya</v>
      </c>
      <c r="L40" s="56">
        <f>Jawaban!L40</f>
        <v>0</v>
      </c>
      <c r="M40" s="41" t="s">
        <v>174</v>
      </c>
      <c r="N40" s="176" t="s">
        <v>58</v>
      </c>
      <c r="O40" s="47">
        <f t="shared" ref="O40:O42" si="11">IF(J40="Ya/Tidak",IF(N40="Ya",1,IF(N40="Tidak",0,"Blm Diisi")),IF(J40="A/B/C",IF(N40="A",1,IF(N40="B",0.5,IF(N40="C",0,"Blm Diisi"))),IF(J40="A/B/C/D",IF(N40="A",1,IF(N40="B",0.67,IF(N40="C",0.33,IF(N40="D",0,"Blm Diisi")))),IF(J40="A/B/C/D/E",IF(N40="A",1,IF(N40="B",0.75,IF(N40="C",0.5,IF(N40="D",0.25,IF(N40="E",0,"Blm Diisi"))))),IF(J40="%",IF(N40="","Blm Diisi",N40),IF(J40="Jumlah",IF(N40="","Blm Diisi",""),IF(J40="Rupiah",IF(N40="","Blm Diisi",""),IF(J40="","","-"))))))))</f>
        <v>1</v>
      </c>
      <c r="P40" s="48"/>
      <c r="Q40" s="177" t="s">
        <v>593</v>
      </c>
      <c r="R40" s="178" t="str">
        <f>Jawaban!R40</f>
        <v>a. Dalam melakukan pengembangan karier pegawai, telah dilakukan mutasi pegawai antar jabatan.</v>
      </c>
      <c r="S40" s="51">
        <f>Jawaban!S40</f>
        <v>0</v>
      </c>
      <c r="T40" s="51">
        <f>Jawaban!T40</f>
        <v>0</v>
      </c>
      <c r="U40" s="51">
        <f>Jawaban!U40</f>
        <v>0</v>
      </c>
      <c r="V40" s="51">
        <f>Jawaban!V40</f>
        <v>0</v>
      </c>
    </row>
    <row r="41" ht="378" customHeight="1" spans="1:22">
      <c r="A41" s="12">
        <v>42</v>
      </c>
      <c r="B41" s="29"/>
      <c r="C41" s="35"/>
      <c r="D41" s="35"/>
      <c r="E41" s="35"/>
      <c r="F41" s="40" t="s">
        <v>61</v>
      </c>
      <c r="G41" s="41" t="s">
        <v>176</v>
      </c>
      <c r="H41" s="42"/>
      <c r="I41" s="51" t="s">
        <v>177</v>
      </c>
      <c r="J41" s="59" t="s">
        <v>124</v>
      </c>
      <c r="K41" s="44" t="str">
        <f>Jawaban!K41</f>
        <v>A</v>
      </c>
      <c r="L41" s="56">
        <f>Jawaban!L41</f>
        <v>0</v>
      </c>
      <c r="M41" s="51" t="s">
        <v>178</v>
      </c>
      <c r="N41" s="176" t="s">
        <v>65</v>
      </c>
      <c r="O41" s="47">
        <f t="shared" si="11"/>
        <v>1</v>
      </c>
      <c r="P41" s="48"/>
      <c r="Q41" s="180" t="s">
        <v>593</v>
      </c>
      <c r="R41" s="178" t="str">
        <f>Jawaban!R41</f>
        <v>b. Dalam melakukan mutasi pegawai antar jabatan telah memperhatikan kompetensi jabatan dan mengikuti pola mutasi yang telah ditetapkan.</v>
      </c>
      <c r="S41" s="51">
        <f>Jawaban!S41</f>
        <v>0</v>
      </c>
      <c r="T41" s="51">
        <f>Jawaban!T41</f>
        <v>0</v>
      </c>
      <c r="U41" s="51">
        <f>Jawaban!U41</f>
        <v>0</v>
      </c>
      <c r="V41" s="51">
        <f>Jawaban!V41</f>
        <v>0</v>
      </c>
    </row>
    <row r="42" ht="15.75" customHeight="1" spans="1:22">
      <c r="A42" s="12">
        <v>43</v>
      </c>
      <c r="B42" s="29"/>
      <c r="C42" s="35"/>
      <c r="D42" s="35"/>
      <c r="E42" s="35"/>
      <c r="F42" s="40" t="s">
        <v>78</v>
      </c>
      <c r="G42" s="41" t="s">
        <v>180</v>
      </c>
      <c r="H42" s="42"/>
      <c r="I42" s="41" t="s">
        <v>181</v>
      </c>
      <c r="J42" s="59" t="s">
        <v>57</v>
      </c>
      <c r="K42" s="44" t="str">
        <f>Jawaban!K42</f>
        <v>Ya</v>
      </c>
      <c r="L42" s="52">
        <f>Jawaban!L42</f>
        <v>0</v>
      </c>
      <c r="M42" s="41" t="s">
        <v>182</v>
      </c>
      <c r="N42" s="176" t="s">
        <v>58</v>
      </c>
      <c r="O42" s="47">
        <f t="shared" si="11"/>
        <v>1</v>
      </c>
      <c r="P42" s="48"/>
      <c r="Q42" s="179" t="s">
        <v>593</v>
      </c>
      <c r="R42" s="178" t="str">
        <f>Jawaban!R42</f>
        <v>c. Telah dilakukan monitoring dan evaluasi terhadap kegiatan mutasi yang telah dilakukan dalam kaitannya dengan perbaikan kinerja.</v>
      </c>
      <c r="S42" s="51">
        <f>Jawaban!S42</f>
        <v>0</v>
      </c>
      <c r="T42" s="51">
        <f>Jawaban!T42</f>
        <v>0</v>
      </c>
      <c r="U42" s="51">
        <f>Jawaban!U42</f>
        <v>0</v>
      </c>
      <c r="V42" s="51">
        <f>Jawaban!V42</f>
        <v>0</v>
      </c>
    </row>
    <row r="43" ht="15.75" customHeight="1" spans="1:22">
      <c r="A43" s="12">
        <v>44</v>
      </c>
      <c r="B43" s="30"/>
      <c r="C43" s="35"/>
      <c r="D43" s="35"/>
      <c r="E43" s="35" t="s">
        <v>83</v>
      </c>
      <c r="F43" s="29" t="s">
        <v>184</v>
      </c>
      <c r="G43" s="30"/>
      <c r="H43" s="36">
        <v>1.25</v>
      </c>
      <c r="I43" s="37"/>
      <c r="J43" s="36"/>
      <c r="K43" s="36">
        <f>Jawaban!K43</f>
        <v>0</v>
      </c>
      <c r="L43" s="54">
        <f>Jawaban!L43</f>
        <v>0</v>
      </c>
      <c r="M43" s="55"/>
      <c r="N43" s="36"/>
      <c r="O43" s="36">
        <f>AVERAGE(O44:O49)*H43</f>
        <v>1.25</v>
      </c>
      <c r="P43" s="38">
        <f>O43/H43</f>
        <v>1</v>
      </c>
      <c r="Q43" s="39"/>
      <c r="R43" s="51">
        <f>Jawaban!R43</f>
        <v>0</v>
      </c>
      <c r="S43" s="51">
        <f>Jawaban!S43</f>
        <v>0</v>
      </c>
      <c r="T43" s="51">
        <f>Jawaban!T43</f>
        <v>0</v>
      </c>
      <c r="U43" s="51">
        <f>Jawaban!U43</f>
        <v>0</v>
      </c>
      <c r="V43" s="51">
        <f>Jawaban!V43</f>
        <v>0</v>
      </c>
    </row>
    <row r="44" ht="15.75" customHeight="1" spans="1:22">
      <c r="A44" s="12">
        <v>45</v>
      </c>
      <c r="B44" s="29"/>
      <c r="C44" s="35"/>
      <c r="D44" s="35"/>
      <c r="E44" s="35"/>
      <c r="F44" s="40" t="s">
        <v>54</v>
      </c>
      <c r="G44" s="41" t="s">
        <v>185</v>
      </c>
      <c r="H44" s="42"/>
      <c r="I44" s="41" t="s">
        <v>186</v>
      </c>
      <c r="J44" s="59" t="s">
        <v>57</v>
      </c>
      <c r="K44" s="44" t="str">
        <f>Jawaban!K44</f>
        <v>Ya</v>
      </c>
      <c r="L44" s="52">
        <f>Jawaban!L44</f>
        <v>0</v>
      </c>
      <c r="M44" s="41" t="s">
        <v>187</v>
      </c>
      <c r="N44" s="176" t="s">
        <v>58</v>
      </c>
      <c r="O44" s="47">
        <f t="shared" ref="O44:O49" si="12">IF(J44="Ya/Tidak",IF(N44="Ya",1,IF(N44="Tidak",0,"Blm Diisi")),IF(J44="A/B/C",IF(N44="A",1,IF(N44="B",0.5,IF(N44="C",0,"Blm Diisi"))),IF(J44="A/B/C/D",IF(N44="A",1,IF(N44="B",0.67,IF(N44="C",0.33,IF(N44="D",0,"Blm Diisi")))),IF(J44="A/B/C/D/E",IF(N44="A",1,IF(N44="B",0.75,IF(N44="C",0.5,IF(N44="D",0.25,IF(N44="E",0,"Blm Diisi"))))),IF(J44="%",IF(N44="","Blm Diisi",N44),IF(J44="Jumlah",IF(N44="","Blm Diisi",""),IF(J44="Rupiah",IF(N44="","Blm Diisi",""),IF(J44="","","-"))))))))</f>
        <v>1</v>
      </c>
      <c r="P44" s="48"/>
      <c r="Q44" s="189" t="s">
        <v>593</v>
      </c>
      <c r="R44" s="178" t="str">
        <f>Jawaban!R44</f>
        <v>a. Unit Kerja melakukan Training Need Analysis Untuk pengembangan kompetensi.</v>
      </c>
      <c r="S44" s="51">
        <f>Jawaban!S44</f>
        <v>0</v>
      </c>
      <c r="T44" s="51">
        <f>Jawaban!T44</f>
        <v>0</v>
      </c>
      <c r="U44" s="51">
        <f>Jawaban!U44</f>
        <v>0</v>
      </c>
      <c r="V44" s="51">
        <f>Jawaban!V44</f>
        <v>0</v>
      </c>
    </row>
    <row r="45" ht="15.75" customHeight="1" spans="1:22">
      <c r="A45" s="12">
        <v>46</v>
      </c>
      <c r="B45" s="29"/>
      <c r="C45" s="35"/>
      <c r="D45" s="35"/>
      <c r="E45" s="35"/>
      <c r="F45" s="40" t="s">
        <v>61</v>
      </c>
      <c r="G45" s="41" t="s">
        <v>189</v>
      </c>
      <c r="H45" s="42"/>
      <c r="I45" s="51" t="s">
        <v>190</v>
      </c>
      <c r="J45" s="59" t="s">
        <v>87</v>
      </c>
      <c r="K45" s="44" t="str">
        <f>Jawaban!K45</f>
        <v>A</v>
      </c>
      <c r="L45" s="52">
        <f>Jawaban!L45</f>
        <v>0</v>
      </c>
      <c r="M45" s="41" t="s">
        <v>191</v>
      </c>
      <c r="N45" s="176" t="s">
        <v>65</v>
      </c>
      <c r="O45" s="47">
        <f t="shared" si="12"/>
        <v>1</v>
      </c>
      <c r="P45" s="48"/>
      <c r="Q45" s="180" t="s">
        <v>593</v>
      </c>
      <c r="R45" s="178" t="str">
        <f>Jawaban!R45</f>
        <v>b. Dalam menyusun rencana pengembangan kompetensi pegawai, telah mempertimbangkan hasil pengelolaan kinerja pegawai.</v>
      </c>
      <c r="S45" s="51">
        <f>Jawaban!S45</f>
        <v>0</v>
      </c>
      <c r="T45" s="51">
        <f>Jawaban!T45</f>
        <v>0</v>
      </c>
      <c r="U45" s="51">
        <f>Jawaban!U45</f>
        <v>0</v>
      </c>
      <c r="V45" s="51">
        <f>Jawaban!V45</f>
        <v>0</v>
      </c>
    </row>
    <row r="46" ht="15.75" customHeight="1" spans="1:22">
      <c r="A46" s="12">
        <v>47</v>
      </c>
      <c r="B46" s="29"/>
      <c r="C46" s="35"/>
      <c r="D46" s="35"/>
      <c r="E46" s="35"/>
      <c r="F46" s="40" t="s">
        <v>78</v>
      </c>
      <c r="G46" s="41" t="s">
        <v>193</v>
      </c>
      <c r="H46" s="42"/>
      <c r="I46" s="51" t="s">
        <v>194</v>
      </c>
      <c r="J46" s="59" t="s">
        <v>87</v>
      </c>
      <c r="K46" s="44" t="str">
        <f>Jawaban!K46</f>
        <v>A</v>
      </c>
      <c r="L46" s="52">
        <f>Jawaban!L46</f>
        <v>0</v>
      </c>
      <c r="M46" s="51" t="s">
        <v>195</v>
      </c>
      <c r="N46" s="176" t="s">
        <v>65</v>
      </c>
      <c r="O46" s="47">
        <f t="shared" si="12"/>
        <v>1</v>
      </c>
      <c r="P46" s="48"/>
      <c r="Q46" s="180" t="s">
        <v>593</v>
      </c>
      <c r="R46" s="178" t="str">
        <f>Jawaban!R46</f>
        <v>c.  Tingkat kesenjangan kompetensi pegawai yang ada dengan standar kompetensi yang ditetapkan untuk masing-masing jabatan. </v>
      </c>
      <c r="S46" s="51">
        <f>Jawaban!S46</f>
        <v>0</v>
      </c>
      <c r="T46" s="51">
        <f>Jawaban!T46</f>
        <v>0</v>
      </c>
      <c r="U46" s="51">
        <f>Jawaban!U46</f>
        <v>0</v>
      </c>
      <c r="V46" s="51">
        <f>Jawaban!V46</f>
        <v>0</v>
      </c>
    </row>
    <row r="47" ht="259.5" customHeight="1" spans="1:22">
      <c r="A47" s="12">
        <v>48</v>
      </c>
      <c r="B47" s="29"/>
      <c r="C47" s="35"/>
      <c r="D47" s="35"/>
      <c r="E47" s="35"/>
      <c r="F47" s="40" t="s">
        <v>112</v>
      </c>
      <c r="G47" s="41" t="s">
        <v>197</v>
      </c>
      <c r="H47" s="42"/>
      <c r="I47" s="51" t="s">
        <v>198</v>
      </c>
      <c r="J47" s="59" t="s">
        <v>87</v>
      </c>
      <c r="K47" s="44" t="str">
        <f>Jawaban!K47</f>
        <v>A</v>
      </c>
      <c r="L47" s="52">
        <f>Jawaban!L47</f>
        <v>0</v>
      </c>
      <c r="M47" s="51" t="s">
        <v>199</v>
      </c>
      <c r="N47" s="176" t="s">
        <v>65</v>
      </c>
      <c r="O47" s="47">
        <f t="shared" si="12"/>
        <v>1</v>
      </c>
      <c r="P47" s="48"/>
      <c r="Q47" s="180" t="s">
        <v>593</v>
      </c>
      <c r="R47" s="178" t="str">
        <f>Jawaban!R47</f>
        <v>d. Pegawai di Unit Kerja telah memperoleh kesempatan/hak untuk mengikuti diklat maupun pengembangan kompetensi lainnya. </v>
      </c>
      <c r="S47" s="51">
        <f>Jawaban!S47</f>
        <v>0</v>
      </c>
      <c r="T47" s="51">
        <f>Jawaban!T47</f>
        <v>0</v>
      </c>
      <c r="U47" s="51">
        <f>Jawaban!U47</f>
        <v>0</v>
      </c>
      <c r="V47" s="51">
        <f>Jawaban!V47</f>
        <v>0</v>
      </c>
    </row>
    <row r="48" ht="326.25" customHeight="1" spans="1:22">
      <c r="A48" s="12">
        <v>49</v>
      </c>
      <c r="B48" s="29"/>
      <c r="C48" s="35"/>
      <c r="D48" s="35"/>
      <c r="E48" s="35"/>
      <c r="F48" s="40" t="s">
        <v>201</v>
      </c>
      <c r="G48" s="41" t="s">
        <v>202</v>
      </c>
      <c r="H48" s="42"/>
      <c r="I48" s="51" t="s">
        <v>203</v>
      </c>
      <c r="J48" s="59" t="s">
        <v>87</v>
      </c>
      <c r="K48" s="44" t="str">
        <f>Jawaban!K48</f>
        <v>A</v>
      </c>
      <c r="L48" s="52">
        <f>Jawaban!L48</f>
        <v>0</v>
      </c>
      <c r="M48" s="51" t="s">
        <v>204</v>
      </c>
      <c r="N48" s="176" t="s">
        <v>65</v>
      </c>
      <c r="O48" s="47">
        <f t="shared" si="12"/>
        <v>1</v>
      </c>
      <c r="P48" s="48"/>
      <c r="Q48" s="190" t="s">
        <v>593</v>
      </c>
      <c r="R48" s="178" t="str">
        <f>Jawaban!R48</f>
        <v>e. Dalam pelaksanaan pengembangan kompetensi, unit kerja melakukan upaya pengembangan kompetensi kepada pegawai (seperti pengikutsertaan pada lembaga pelatihan, in-house training, coaching, atau mentoring). </v>
      </c>
      <c r="S48" s="51">
        <f>Jawaban!S48</f>
        <v>0</v>
      </c>
      <c r="T48" s="51">
        <f>Jawaban!T48</f>
        <v>0</v>
      </c>
      <c r="U48" s="51">
        <f>Jawaban!U48</f>
        <v>0</v>
      </c>
      <c r="V48" s="51">
        <f>Jawaban!V48</f>
        <v>0</v>
      </c>
    </row>
    <row r="49" ht="315" customHeight="1" spans="1:22">
      <c r="A49" s="12">
        <v>50</v>
      </c>
      <c r="B49" s="29"/>
      <c r="C49" s="35"/>
      <c r="D49" s="35"/>
      <c r="E49" s="35"/>
      <c r="F49" s="40" t="s">
        <v>206</v>
      </c>
      <c r="G49" s="41" t="s">
        <v>207</v>
      </c>
      <c r="H49" s="42"/>
      <c r="I49" s="51" t="s">
        <v>208</v>
      </c>
      <c r="J49" s="59" t="s">
        <v>64</v>
      </c>
      <c r="K49" s="44" t="str">
        <f>Jawaban!K49</f>
        <v>A</v>
      </c>
      <c r="L49" s="52">
        <f>Jawaban!L49</f>
        <v>0</v>
      </c>
      <c r="M49" s="51" t="s">
        <v>209</v>
      </c>
      <c r="N49" s="176" t="s">
        <v>65</v>
      </c>
      <c r="O49" s="47">
        <f t="shared" si="12"/>
        <v>1</v>
      </c>
      <c r="P49" s="48"/>
      <c r="Q49" s="191" t="s">
        <v>593</v>
      </c>
      <c r="R49" s="178" t="str">
        <f>Jawaban!R49</f>
        <v>f. Telah dilakukan monitoring dan evaluasi terhadap hasil pengembangan kompetensi dalam kaitannya dengan perbaikan kinerja.</v>
      </c>
      <c r="S49" s="51">
        <f>Jawaban!S49</f>
        <v>0</v>
      </c>
      <c r="T49" s="51">
        <f>Jawaban!T49</f>
        <v>0</v>
      </c>
      <c r="U49" s="51">
        <f>Jawaban!U49</f>
        <v>0</v>
      </c>
      <c r="V49" s="51">
        <f>Jawaban!V49</f>
        <v>0</v>
      </c>
    </row>
    <row r="50" ht="15.75" customHeight="1" spans="1:22">
      <c r="A50" s="12">
        <v>51</v>
      </c>
      <c r="B50" s="30"/>
      <c r="C50" s="35"/>
      <c r="D50" s="35"/>
      <c r="E50" s="35" t="s">
        <v>98</v>
      </c>
      <c r="F50" s="29" t="s">
        <v>211</v>
      </c>
      <c r="G50" s="30"/>
      <c r="H50" s="36">
        <v>2</v>
      </c>
      <c r="I50" s="37" t="s">
        <v>212</v>
      </c>
      <c r="J50" s="36"/>
      <c r="K50" s="36">
        <f>Jawaban!K50</f>
        <v>0</v>
      </c>
      <c r="L50" s="54">
        <f>Jawaban!L50</f>
        <v>0</v>
      </c>
      <c r="M50" s="55"/>
      <c r="N50" s="36"/>
      <c r="O50" s="36">
        <f>AVERAGE(O51:O54)*H50</f>
        <v>2</v>
      </c>
      <c r="P50" s="38">
        <f>O50/H50</f>
        <v>1</v>
      </c>
      <c r="Q50" s="39"/>
      <c r="R50" s="51">
        <f>Jawaban!R50</f>
        <v>0</v>
      </c>
      <c r="S50" s="51">
        <f>Jawaban!S50</f>
        <v>0</v>
      </c>
      <c r="T50" s="51">
        <f>Jawaban!T50</f>
        <v>0</v>
      </c>
      <c r="U50" s="51">
        <f>Jawaban!U50</f>
        <v>0</v>
      </c>
      <c r="V50" s="51">
        <f>Jawaban!V50</f>
        <v>0</v>
      </c>
    </row>
    <row r="51" ht="15.75" customHeight="1" spans="1:22">
      <c r="A51" s="12">
        <v>52</v>
      </c>
      <c r="B51" s="29"/>
      <c r="C51" s="35"/>
      <c r="D51" s="35"/>
      <c r="E51" s="35"/>
      <c r="F51" s="40" t="s">
        <v>54</v>
      </c>
      <c r="G51" s="41" t="s">
        <v>213</v>
      </c>
      <c r="H51" s="42"/>
      <c r="I51" s="51" t="s">
        <v>214</v>
      </c>
      <c r="J51" s="59" t="s">
        <v>87</v>
      </c>
      <c r="K51" s="44" t="str">
        <f>Jawaban!K51</f>
        <v>A</v>
      </c>
      <c r="L51" s="56">
        <f>Jawaban!L51</f>
        <v>0</v>
      </c>
      <c r="M51" s="51" t="s">
        <v>215</v>
      </c>
      <c r="N51" s="176" t="s">
        <v>65</v>
      </c>
      <c r="O51" s="47">
        <f t="shared" ref="O51:O54" si="13">IF(J51="Ya/Tidak",IF(N51="Ya",1,IF(N51="Tidak",0,"Blm Diisi")),IF(J51="A/B/C",IF(N51="A",1,IF(N51="B",0.5,IF(N51="C",0,"Blm Diisi"))),IF(J51="A/B/C/D",IF(N51="A",1,IF(N51="B",0.67,IF(N51="C",0.33,IF(N51="D",0,"Blm Diisi")))),IF(J51="A/B/C/D/E",IF(N51="A",1,IF(N51="B",0.75,IF(N51="C",0.5,IF(N51="D",0.25,IF(N51="E",0,"Blm Diisi"))))),IF(J51="%",IF(N51="","Blm Diisi",N51),IF(J51="Jumlah",IF(N51="","Blm Diisi",""),IF(J51="Rupiah",IF(N51="","Blm Diisi",""),IF(J51="","","-"))))))))</f>
        <v>1</v>
      </c>
      <c r="P51" s="48"/>
      <c r="Q51" s="177" t="s">
        <v>593</v>
      </c>
      <c r="R51" s="178" t="str">
        <f>Jawaban!R51</f>
        <v>a. Terdapat penetapan kinerja individu yang terkait dengan perjanjian kinerja organisasi</v>
      </c>
      <c r="S51" s="51">
        <f>Jawaban!S51</f>
        <v>0</v>
      </c>
      <c r="T51" s="51">
        <f>Jawaban!T51</f>
        <v>0</v>
      </c>
      <c r="U51" s="51">
        <f>Jawaban!U51</f>
        <v>0</v>
      </c>
      <c r="V51" s="51">
        <f>Jawaban!V51</f>
        <v>0</v>
      </c>
    </row>
    <row r="52" ht="15.75" customHeight="1" spans="1:22">
      <c r="A52" s="12">
        <v>53</v>
      </c>
      <c r="B52" s="29"/>
      <c r="C52" s="35"/>
      <c r="D52" s="35"/>
      <c r="E52" s="35"/>
      <c r="F52" s="40" t="s">
        <v>61</v>
      </c>
      <c r="G52" s="41" t="s">
        <v>217</v>
      </c>
      <c r="H52" s="42"/>
      <c r="I52" s="51" t="s">
        <v>218</v>
      </c>
      <c r="J52" s="59" t="s">
        <v>87</v>
      </c>
      <c r="K52" s="44" t="str">
        <f>Jawaban!K52</f>
        <v>A</v>
      </c>
      <c r="L52" s="52">
        <f>Jawaban!L52</f>
        <v>0</v>
      </c>
      <c r="M52" s="51" t="s">
        <v>219</v>
      </c>
      <c r="N52" s="176" t="s">
        <v>65</v>
      </c>
      <c r="O52" s="47">
        <f t="shared" si="13"/>
        <v>1</v>
      </c>
      <c r="P52" s="48"/>
      <c r="Q52" s="179" t="s">
        <v>593</v>
      </c>
      <c r="R52" s="178" t="str">
        <f>Jawaban!R52</f>
        <v>b. Ukuran kinerja individu telah memiliki kesesuaian dengan indikator kinerja individu level diatasnya.</v>
      </c>
      <c r="S52" s="51">
        <f>Jawaban!S52</f>
        <v>0</v>
      </c>
      <c r="T52" s="51">
        <f>Jawaban!T52</f>
        <v>0</v>
      </c>
      <c r="U52" s="51">
        <f>Jawaban!U52</f>
        <v>0</v>
      </c>
      <c r="V52" s="51">
        <f>Jawaban!V52</f>
        <v>0</v>
      </c>
    </row>
    <row r="53" ht="15.75" customHeight="1" spans="1:22">
      <c r="A53" s="12">
        <v>54</v>
      </c>
      <c r="B53" s="29"/>
      <c r="C53" s="35"/>
      <c r="D53" s="35"/>
      <c r="E53" s="35"/>
      <c r="F53" s="40" t="s">
        <v>78</v>
      </c>
      <c r="G53" s="41" t="s">
        <v>221</v>
      </c>
      <c r="H53" s="42"/>
      <c r="I53" s="51" t="s">
        <v>222</v>
      </c>
      <c r="J53" s="59" t="s">
        <v>124</v>
      </c>
      <c r="K53" s="44" t="str">
        <f>Jawaban!K53</f>
        <v>A</v>
      </c>
      <c r="L53" s="51">
        <f>Jawaban!L53</f>
        <v>0</v>
      </c>
      <c r="M53" s="51" t="s">
        <v>223</v>
      </c>
      <c r="N53" s="176" t="s">
        <v>65</v>
      </c>
      <c r="O53" s="47">
        <f t="shared" si="13"/>
        <v>1</v>
      </c>
      <c r="P53" s="48"/>
      <c r="Q53" s="179" t="s">
        <v>593</v>
      </c>
      <c r="R53" s="178" t="str">
        <f>Jawaban!R53</f>
        <v>c. Pengukuran kinerja individu dilakukan secara periodik.</v>
      </c>
      <c r="S53" s="51">
        <f>Jawaban!S53</f>
        <v>0</v>
      </c>
      <c r="T53" s="51">
        <f>Jawaban!T53</f>
        <v>0</v>
      </c>
      <c r="U53" s="51">
        <f>Jawaban!U53</f>
        <v>0</v>
      </c>
      <c r="V53" s="51">
        <f>Jawaban!V53</f>
        <v>0</v>
      </c>
    </row>
    <row r="54" ht="130.5" customHeight="1" spans="1:22">
      <c r="A54" s="12">
        <v>55</v>
      </c>
      <c r="B54" s="29"/>
      <c r="C54" s="35"/>
      <c r="D54" s="35"/>
      <c r="E54" s="35"/>
      <c r="F54" s="40" t="s">
        <v>112</v>
      </c>
      <c r="G54" s="41" t="s">
        <v>225</v>
      </c>
      <c r="H54" s="42"/>
      <c r="I54" s="41" t="s">
        <v>226</v>
      </c>
      <c r="J54" s="59" t="s">
        <v>57</v>
      </c>
      <c r="K54" s="44" t="str">
        <f>Jawaban!K54</f>
        <v>Ya</v>
      </c>
      <c r="L54" s="56">
        <f>Jawaban!L54</f>
        <v>0</v>
      </c>
      <c r="M54" s="41" t="s">
        <v>227</v>
      </c>
      <c r="N54" s="176" t="s">
        <v>58</v>
      </c>
      <c r="O54" s="47">
        <f t="shared" si="13"/>
        <v>1</v>
      </c>
      <c r="P54" s="48"/>
      <c r="Q54" s="187" t="s">
        <v>593</v>
      </c>
      <c r="R54" s="178" t="str">
        <f>Jawaban!R54</f>
        <v>d. Hasil penilaian kinerja individu telah dijadikan dasar untuk pemberian reward.</v>
      </c>
      <c r="S54" s="51">
        <f>Jawaban!S54</f>
        <v>0</v>
      </c>
      <c r="T54" s="51">
        <f>Jawaban!T54</f>
        <v>0</v>
      </c>
      <c r="U54" s="51">
        <f>Jawaban!U54</f>
        <v>0</v>
      </c>
      <c r="V54" s="51">
        <f>Jawaban!V54</f>
        <v>0</v>
      </c>
    </row>
    <row r="55" ht="15.75" customHeight="1" spans="1:22">
      <c r="A55" s="12">
        <v>56</v>
      </c>
      <c r="B55" s="30"/>
      <c r="C55" s="35"/>
      <c r="D55" s="35"/>
      <c r="E55" s="35" t="s">
        <v>229</v>
      </c>
      <c r="F55" s="29" t="s">
        <v>230</v>
      </c>
      <c r="G55" s="30"/>
      <c r="H55" s="36">
        <v>0.75</v>
      </c>
      <c r="I55" s="37"/>
      <c r="J55" s="36"/>
      <c r="K55" s="36">
        <f>Jawaban!K55</f>
        <v>0</v>
      </c>
      <c r="L55" s="54">
        <f>Jawaban!L55</f>
        <v>0</v>
      </c>
      <c r="M55" s="55"/>
      <c r="N55" s="36"/>
      <c r="O55" s="36">
        <f>AVERAGE(O56)*H55</f>
        <v>0.75</v>
      </c>
      <c r="P55" s="38">
        <f>O55/H55</f>
        <v>1</v>
      </c>
      <c r="Q55" s="39"/>
      <c r="R55" s="51">
        <f>Jawaban!R55</f>
        <v>0</v>
      </c>
      <c r="S55" s="51">
        <f>Jawaban!S55</f>
        <v>0</v>
      </c>
      <c r="T55" s="51">
        <f>Jawaban!T55</f>
        <v>0</v>
      </c>
      <c r="U55" s="51">
        <f>Jawaban!U55</f>
        <v>0</v>
      </c>
      <c r="V55" s="51">
        <f>Jawaban!V55</f>
        <v>0</v>
      </c>
    </row>
    <row r="56" ht="321.75" customHeight="1" spans="1:22">
      <c r="A56" s="62">
        <v>57</v>
      </c>
      <c r="B56" s="63"/>
      <c r="C56" s="64"/>
      <c r="D56" s="64"/>
      <c r="E56" s="64"/>
      <c r="F56" s="320" t="s">
        <v>54</v>
      </c>
      <c r="G56" s="66" t="s">
        <v>231</v>
      </c>
      <c r="H56" s="67"/>
      <c r="I56" s="68" t="s">
        <v>232</v>
      </c>
      <c r="J56" s="69" t="s">
        <v>87</v>
      </c>
      <c r="K56" s="44" t="str">
        <f>Jawaban!K56</f>
        <v>A</v>
      </c>
      <c r="L56" s="70">
        <f>Jawaban!L56</f>
        <v>0</v>
      </c>
      <c r="M56" s="51" t="s">
        <v>233</v>
      </c>
      <c r="N56" s="176" t="s">
        <v>65</v>
      </c>
      <c r="O56" s="47">
        <f>IF(J56="Ya/Tidak",IF(N56="Ya",1,IF(N56="Tidak",0,"Blm Diisi")),IF(J56="A/B/C",IF(N56="A",1,IF(N56="B",0.5,IF(N56="C",0,"Blm Diisi"))),IF(J56="A/B/C/D",IF(N56="A",1,IF(N56="B",0.67,IF(N56="C",0.33,IF(N56="D",0,"Blm Diisi")))),IF(J56="A/B/C/D/E",IF(N56="A",1,IF(N56="B",0.75,IF(N56="C",0.5,IF(N56="D",0.25,IF(N56="E",0,"Blm Diisi"))))),IF(J56="%",IF(N56="","Blm Diisi",N56),IF(J56="Jumlah",IF(N56="","Blm Diisi",""),IF(J56="Rupiah",IF(N56="","Blm Diisi",""),IF(J56="","","-"))))))))</f>
        <v>1</v>
      </c>
      <c r="P56" s="48"/>
      <c r="Q56" s="186" t="s">
        <v>593</v>
      </c>
      <c r="R56" s="178" t="str">
        <f>Jawaban!R56</f>
        <v>a. "Aturan disiplin/kode etik/kode perilaku telah dilaksanakan/ diimplementasikan."</v>
      </c>
      <c r="S56" s="51">
        <f>Jawaban!S56</f>
        <v>0</v>
      </c>
      <c r="T56" s="51">
        <f>Jawaban!T56</f>
        <v>0</v>
      </c>
      <c r="U56" s="51">
        <f>Jawaban!U56</f>
        <v>0</v>
      </c>
      <c r="V56" s="51">
        <f>Jawaban!V56</f>
        <v>0</v>
      </c>
    </row>
    <row r="57" ht="15.75" customHeight="1" spans="1:22">
      <c r="A57" s="12">
        <v>58</v>
      </c>
      <c r="B57" s="30"/>
      <c r="C57" s="35"/>
      <c r="D57" s="35"/>
      <c r="E57" s="35" t="s">
        <v>235</v>
      </c>
      <c r="F57" s="29" t="s">
        <v>236</v>
      </c>
      <c r="G57" s="30"/>
      <c r="H57" s="36">
        <v>0.25</v>
      </c>
      <c r="I57" s="37"/>
      <c r="J57" s="36"/>
      <c r="K57" s="36">
        <f>Jawaban!K57</f>
        <v>0</v>
      </c>
      <c r="L57" s="54">
        <f>Jawaban!L57</f>
        <v>0</v>
      </c>
      <c r="M57" s="55"/>
      <c r="N57" s="36"/>
      <c r="O57" s="36">
        <f>AVERAGE(O58)*H57</f>
        <v>0.25</v>
      </c>
      <c r="P57" s="38">
        <f>O57/H57</f>
        <v>1</v>
      </c>
      <c r="Q57" s="39"/>
      <c r="R57" s="51">
        <f>Jawaban!R57</f>
        <v>0</v>
      </c>
      <c r="S57" s="51">
        <f>Jawaban!S57</f>
        <v>0</v>
      </c>
      <c r="T57" s="51">
        <f>Jawaban!T57</f>
        <v>0</v>
      </c>
      <c r="U57" s="51">
        <f>Jawaban!U57</f>
        <v>0</v>
      </c>
      <c r="V57" s="51">
        <f>Jawaban!V57</f>
        <v>0</v>
      </c>
    </row>
    <row r="58" ht="15.75" customHeight="1" spans="1:22">
      <c r="A58" s="12">
        <v>59</v>
      </c>
      <c r="B58" s="29"/>
      <c r="C58" s="35"/>
      <c r="D58" s="35"/>
      <c r="E58" s="35"/>
      <c r="F58" s="321" t="s">
        <v>54</v>
      </c>
      <c r="G58" s="41" t="s">
        <v>237</v>
      </c>
      <c r="H58" s="42"/>
      <c r="I58" s="51" t="s">
        <v>238</v>
      </c>
      <c r="J58" s="59" t="s">
        <v>64</v>
      </c>
      <c r="K58" s="44" t="str">
        <f>Jawaban!K58</f>
        <v>A</v>
      </c>
      <c r="L58" s="51">
        <f>Jawaban!L58</f>
        <v>0</v>
      </c>
      <c r="M58" s="51" t="s">
        <v>239</v>
      </c>
      <c r="N58" s="176" t="s">
        <v>65</v>
      </c>
      <c r="O58" s="47">
        <f>IF(J58="Ya/Tidak",IF(N58="Ya",1,IF(N58="Tidak",0,"Blm Diisi")),IF(J58="A/B/C",IF(N58="A",1,IF(N58="B",0.5,IF(N58="C",0,"Blm Diisi"))),IF(J58="A/B/C/D",IF(N58="A",1,IF(N58="B",0.67,IF(N58="C",0.33,IF(N58="D",0,"Blm Diisi")))),IF(J58="A/B/C/D/E",IF(N58="A",1,IF(N58="B",0.75,IF(N58="C",0.5,IF(N58="D",0.25,IF(N58="E",0,"Blm Diisi"))))),IF(J58="%",IF(N58="","Blm Diisi",N58),IF(J58="Jumlah",IF(N58="","Blm Diisi",""),IF(J58="Rupiah",IF(N58="","Blm Diisi",""),IF(J58="","","-"))))))))</f>
        <v>1</v>
      </c>
      <c r="P58" s="48"/>
      <c r="Q58" s="186" t="s">
        <v>593</v>
      </c>
      <c r="R58" s="178" t="str">
        <f>Jawaban!R58</f>
        <v>a. Data informasi kepegawaian unit kerja telah dimutakhirkan secara berkala.</v>
      </c>
      <c r="S58" s="51">
        <f>Jawaban!S58</f>
        <v>0</v>
      </c>
      <c r="T58" s="51">
        <f>Jawaban!T58</f>
        <v>0</v>
      </c>
      <c r="U58" s="51">
        <f>Jawaban!U58</f>
        <v>0</v>
      </c>
      <c r="V58" s="51">
        <f>Jawaban!V58</f>
        <v>0</v>
      </c>
    </row>
    <row r="59" ht="15.75" customHeight="1" spans="1:22">
      <c r="A59" s="12">
        <v>60</v>
      </c>
      <c r="B59" s="26"/>
      <c r="C59" s="61"/>
      <c r="D59" s="28" t="s">
        <v>17</v>
      </c>
      <c r="E59" s="29" t="s">
        <v>18</v>
      </c>
      <c r="F59" s="29"/>
      <c r="G59" s="30"/>
      <c r="H59" s="31">
        <v>5</v>
      </c>
      <c r="I59" s="32"/>
      <c r="J59" s="31"/>
      <c r="K59" s="31">
        <f>Jawaban!K59</f>
        <v>0</v>
      </c>
      <c r="L59" s="54">
        <f>Jawaban!L59</f>
        <v>0</v>
      </c>
      <c r="M59" s="55"/>
      <c r="N59" s="31"/>
      <c r="O59" s="31">
        <f>SUM(O60,O64)</f>
        <v>5</v>
      </c>
      <c r="P59" s="33">
        <f t="shared" ref="P59:P60" si="14">O59/H59</f>
        <v>1</v>
      </c>
      <c r="Q59" s="34"/>
      <c r="R59" s="51">
        <f>Jawaban!R59</f>
        <v>0</v>
      </c>
      <c r="S59" s="51">
        <f>Jawaban!S59</f>
        <v>0</v>
      </c>
      <c r="T59" s="51">
        <f>Jawaban!T59</f>
        <v>0</v>
      </c>
      <c r="U59" s="51">
        <f>Jawaban!U59</f>
        <v>0</v>
      </c>
      <c r="V59" s="51">
        <f>Jawaban!V59</f>
        <v>0</v>
      </c>
    </row>
    <row r="60" ht="15.75" customHeight="1" spans="1:22">
      <c r="A60" s="12">
        <v>61</v>
      </c>
      <c r="B60" s="30"/>
      <c r="C60" s="35"/>
      <c r="D60" s="35"/>
      <c r="E60" s="35" t="s">
        <v>52</v>
      </c>
      <c r="F60" s="29" t="s">
        <v>241</v>
      </c>
      <c r="G60" s="30"/>
      <c r="H60" s="36">
        <v>2.5</v>
      </c>
      <c r="I60" s="37"/>
      <c r="J60" s="36"/>
      <c r="K60" s="36">
        <f>Jawaban!K60</f>
        <v>0</v>
      </c>
      <c r="L60" s="54">
        <f>Jawaban!L60</f>
        <v>0</v>
      </c>
      <c r="M60" s="55"/>
      <c r="N60" s="36"/>
      <c r="O60" s="36">
        <f>AVERAGE(O61:O63)*H60</f>
        <v>2.5</v>
      </c>
      <c r="P60" s="38">
        <f t="shared" si="14"/>
        <v>1</v>
      </c>
      <c r="Q60" s="39"/>
      <c r="R60" s="51">
        <f>Jawaban!R60</f>
        <v>0</v>
      </c>
      <c r="S60" s="51">
        <f>Jawaban!S60</f>
        <v>0</v>
      </c>
      <c r="T60" s="51">
        <f>Jawaban!T60</f>
        <v>0</v>
      </c>
      <c r="U60" s="51">
        <f>Jawaban!U60</f>
        <v>0</v>
      </c>
      <c r="V60" s="51">
        <f>Jawaban!V60</f>
        <v>0</v>
      </c>
    </row>
    <row r="61" ht="15.75" customHeight="1" spans="1:22">
      <c r="A61" s="12">
        <v>62</v>
      </c>
      <c r="B61" s="29"/>
      <c r="C61" s="35"/>
      <c r="D61" s="35"/>
      <c r="E61" s="35"/>
      <c r="F61" s="40" t="s">
        <v>54</v>
      </c>
      <c r="G61" s="41" t="s">
        <v>242</v>
      </c>
      <c r="H61" s="42"/>
      <c r="I61" s="51" t="s">
        <v>243</v>
      </c>
      <c r="J61" s="59" t="s">
        <v>64</v>
      </c>
      <c r="K61" s="44" t="str">
        <f>Jawaban!K61</f>
        <v>A</v>
      </c>
      <c r="L61" s="56">
        <f>Jawaban!L61</f>
        <v>0</v>
      </c>
      <c r="M61" s="51" t="s">
        <v>244</v>
      </c>
      <c r="N61" s="176" t="s">
        <v>65</v>
      </c>
      <c r="O61" s="47">
        <f t="shared" ref="O61:O63" si="15">IF(J61="Ya/Tidak",IF(N61="Ya",1,IF(N61="Tidak",0,"Blm Diisi")),IF(J61="A/B/C",IF(N61="A",1,IF(N61="B",0.5,IF(N61="C",0,"Blm Diisi"))),IF(J61="A/B/C/D",IF(N61="A",1,IF(N61="B",0.67,IF(N61="C",0.33,IF(N61="D",0,"Blm Diisi")))),IF(J61="A/B/C/D/E",IF(N61="A",1,IF(N61="B",0.75,IF(N61="C",0.5,IF(N61="D",0.25,IF(N61="E",0,"Blm Diisi"))))),IF(J61="%",IF(N61="","Blm Diisi",N61),IF(J61="Jumlah",IF(N61="","Blm Diisi",""),IF(J61="Rupiah",IF(N61="","Blm Diisi",""),IF(J61="","","-"))))))))</f>
        <v>1</v>
      </c>
      <c r="P61" s="48"/>
      <c r="Q61" s="177" t="s">
        <v>593</v>
      </c>
      <c r="R61" s="178" t="str">
        <f>Jawaban!R61</f>
        <v>a. Unit kerja telah melibatkan pimpinan secara langsung pada saat penyusunan perencanaan. </v>
      </c>
      <c r="S61" s="51">
        <f>Jawaban!S61</f>
        <v>0</v>
      </c>
      <c r="T61" s="51">
        <f>Jawaban!T61</f>
        <v>0</v>
      </c>
      <c r="U61" s="51">
        <f>Jawaban!U61</f>
        <v>0</v>
      </c>
      <c r="V61" s="51">
        <f>Jawaban!V61</f>
        <v>0</v>
      </c>
    </row>
    <row r="62" ht="15.75" customHeight="1" spans="1:22">
      <c r="A62" s="12">
        <v>63</v>
      </c>
      <c r="B62" s="29"/>
      <c r="C62" s="35"/>
      <c r="D62" s="35"/>
      <c r="E62" s="35"/>
      <c r="F62" s="40" t="s">
        <v>61</v>
      </c>
      <c r="G62" s="41" t="s">
        <v>246</v>
      </c>
      <c r="H62" s="42"/>
      <c r="I62" s="51" t="s">
        <v>247</v>
      </c>
      <c r="J62" s="59" t="s">
        <v>64</v>
      </c>
      <c r="K62" s="44" t="str">
        <f>Jawaban!K62</f>
        <v>A</v>
      </c>
      <c r="L62" s="56">
        <f>Jawaban!L62</f>
        <v>0</v>
      </c>
      <c r="M62" s="51" t="s">
        <v>248</v>
      </c>
      <c r="N62" s="176" t="s">
        <v>65</v>
      </c>
      <c r="O62" s="47">
        <f t="shared" si="15"/>
        <v>1</v>
      </c>
      <c r="P62" s="48"/>
      <c r="Q62" s="180" t="s">
        <v>593</v>
      </c>
      <c r="R62" s="178" t="str">
        <f>Jawaban!R62</f>
        <v>b. Unit kerja telah melibatkan secara langsung pimpinan saat penyusunan penetapan kinerja. </v>
      </c>
      <c r="S62" s="51">
        <f>Jawaban!S62</f>
        <v>0</v>
      </c>
      <c r="T62" s="51">
        <f>Jawaban!T62</f>
        <v>0</v>
      </c>
      <c r="U62" s="51">
        <f>Jawaban!U62</f>
        <v>0</v>
      </c>
      <c r="V62" s="51">
        <f>Jawaban!V62</f>
        <v>0</v>
      </c>
    </row>
    <row r="63" ht="15.75" customHeight="1" spans="1:22">
      <c r="A63" s="12">
        <v>64</v>
      </c>
      <c r="B63" s="29"/>
      <c r="C63" s="35"/>
      <c r="D63" s="35"/>
      <c r="E63" s="35"/>
      <c r="F63" s="40" t="s">
        <v>78</v>
      </c>
      <c r="G63" s="41" t="s">
        <v>250</v>
      </c>
      <c r="H63" s="42"/>
      <c r="I63" s="51" t="s">
        <v>251</v>
      </c>
      <c r="J63" s="59" t="s">
        <v>87</v>
      </c>
      <c r="K63" s="44" t="str">
        <f>Jawaban!K63</f>
        <v>A</v>
      </c>
      <c r="L63" s="56">
        <f>Jawaban!L63</f>
        <v>0</v>
      </c>
      <c r="M63" s="51" t="s">
        <v>252</v>
      </c>
      <c r="N63" s="176" t="s">
        <v>65</v>
      </c>
      <c r="O63" s="47">
        <f t="shared" si="15"/>
        <v>1</v>
      </c>
      <c r="P63" s="48"/>
      <c r="Q63" s="179" t="s">
        <v>593</v>
      </c>
      <c r="R63" s="178" t="str">
        <f>Jawaban!R63</f>
        <v>c. Pimpinan memantau pencapaian kinerja secara berkala. </v>
      </c>
      <c r="S63" s="51">
        <f>Jawaban!S63</f>
        <v>0</v>
      </c>
      <c r="T63" s="51">
        <f>Jawaban!T63</f>
        <v>0</v>
      </c>
      <c r="U63" s="51">
        <f>Jawaban!U63</f>
        <v>0</v>
      </c>
      <c r="V63" s="51">
        <f>Jawaban!V63</f>
        <v>0</v>
      </c>
    </row>
    <row r="64" ht="15.75" customHeight="1" spans="1:22">
      <c r="A64" s="12">
        <v>65</v>
      </c>
      <c r="B64" s="30"/>
      <c r="C64" s="35"/>
      <c r="D64" s="35"/>
      <c r="E64" s="35" t="s">
        <v>68</v>
      </c>
      <c r="F64" s="29" t="s">
        <v>254</v>
      </c>
      <c r="G64" s="30"/>
      <c r="H64" s="36">
        <v>2.5</v>
      </c>
      <c r="I64" s="37"/>
      <c r="J64" s="36"/>
      <c r="K64" s="36">
        <f>Jawaban!K64</f>
        <v>0</v>
      </c>
      <c r="L64" s="54">
        <f>Jawaban!L64</f>
        <v>0</v>
      </c>
      <c r="M64" s="55"/>
      <c r="N64" s="36"/>
      <c r="O64" s="36">
        <f>AVERAGE(O65:O72)*H64</f>
        <v>2.5</v>
      </c>
      <c r="P64" s="38">
        <f>O64/H64</f>
        <v>1</v>
      </c>
      <c r="Q64" s="78"/>
      <c r="R64" s="51">
        <f>Jawaban!R64</f>
        <v>0</v>
      </c>
      <c r="S64" s="51">
        <f>Jawaban!S64</f>
        <v>0</v>
      </c>
      <c r="T64" s="51">
        <f>Jawaban!T64</f>
        <v>0</v>
      </c>
      <c r="U64" s="51">
        <f>Jawaban!U64</f>
        <v>0</v>
      </c>
      <c r="V64" s="51">
        <f>Jawaban!V64</f>
        <v>0</v>
      </c>
    </row>
    <row r="65" ht="150.75" customHeight="1" spans="1:22">
      <c r="A65" s="12">
        <v>66</v>
      </c>
      <c r="B65" s="29"/>
      <c r="C65" s="35"/>
      <c r="D65" s="35"/>
      <c r="E65" s="35"/>
      <c r="F65" s="40" t="s">
        <v>54</v>
      </c>
      <c r="G65" s="51" t="s">
        <v>255</v>
      </c>
      <c r="H65" s="42"/>
      <c r="I65" s="51" t="s">
        <v>256</v>
      </c>
      <c r="J65" s="59" t="s">
        <v>57</v>
      </c>
      <c r="K65" s="44" t="str">
        <f>Jawaban!K65</f>
        <v>Ya</v>
      </c>
      <c r="L65" s="56">
        <f>Jawaban!L65</f>
        <v>0</v>
      </c>
      <c r="M65" s="51" t="s">
        <v>257</v>
      </c>
      <c r="N65" s="176" t="s">
        <v>58</v>
      </c>
      <c r="O65" s="47">
        <f t="shared" ref="O65:O72" si="16">IF(J65="Ya/Tidak",IF(N65="Ya",1,IF(N65="Tidak",0,"Blm Diisi")),IF(J65="A/B/C",IF(N65="A",1,IF(N65="B",0.5,IF(N65="C",0,"Blm Diisi"))),IF(J65="A/B/C/D",IF(N65="A",1,IF(N65="B",0.67,IF(N65="C",0.33,IF(N65="D",0,"Blm Diisi")))),IF(J65="A/B/C/D/E",IF(N65="A",1,IF(N65="B",0.75,IF(N65="C",0.5,IF(N65="D",0.25,IF(N65="E",0,"Blm Diisi"))))),IF(J65="%",IF(N65="","Blm Diisi",N65),IF(J65="Jumlah",IF(N65="","Blm Diisi",""),IF(J65="Rupiah",IF(N65="","Blm Diisi",""),IF(J65="","","-"))))))))</f>
        <v>1</v>
      </c>
      <c r="P65" s="79"/>
      <c r="Q65" s="177" t="s">
        <v>593</v>
      </c>
      <c r="R65" s="178" t="str">
        <f>Jawaban!R65</f>
        <v>a. Dokumen perencanaan kinerja sudah ada.</v>
      </c>
      <c r="S65" s="51">
        <f>Jawaban!S65</f>
        <v>0</v>
      </c>
      <c r="T65" s="51">
        <f>Jawaban!T65</f>
        <v>0</v>
      </c>
      <c r="U65" s="51">
        <f>Jawaban!U65</f>
        <v>0</v>
      </c>
      <c r="V65" s="51">
        <f>Jawaban!V65</f>
        <v>0</v>
      </c>
    </row>
    <row r="66" ht="151.5" customHeight="1" spans="1:22">
      <c r="A66" s="12">
        <v>67</v>
      </c>
      <c r="B66" s="29"/>
      <c r="C66" s="35"/>
      <c r="D66" s="35"/>
      <c r="E66" s="35"/>
      <c r="F66" s="40" t="s">
        <v>61</v>
      </c>
      <c r="G66" s="51" t="s">
        <v>259</v>
      </c>
      <c r="H66" s="42"/>
      <c r="I66" s="51" t="s">
        <v>260</v>
      </c>
      <c r="J66" s="59" t="s">
        <v>57</v>
      </c>
      <c r="K66" s="44" t="str">
        <f>Jawaban!K66</f>
        <v>Ya</v>
      </c>
      <c r="L66" s="56">
        <f>Jawaban!L66</f>
        <v>0</v>
      </c>
      <c r="M66" s="51" t="s">
        <v>261</v>
      </c>
      <c r="N66" s="176" t="s">
        <v>58</v>
      </c>
      <c r="O66" s="47">
        <f t="shared" si="16"/>
        <v>1</v>
      </c>
      <c r="P66" s="79"/>
      <c r="Q66" s="180" t="s">
        <v>593</v>
      </c>
      <c r="R66" s="178" t="str">
        <f>Jawaban!R66</f>
        <v>b. Perencanaan kinerja telah berorientasi hasil. </v>
      </c>
      <c r="S66" s="51">
        <f>Jawaban!S66</f>
        <v>0</v>
      </c>
      <c r="T66" s="51">
        <f>Jawaban!T66</f>
        <v>0</v>
      </c>
      <c r="U66" s="51">
        <f>Jawaban!U66</f>
        <v>0</v>
      </c>
      <c r="V66" s="51">
        <f>Jawaban!V66</f>
        <v>0</v>
      </c>
    </row>
    <row r="67" ht="116.25" customHeight="1" spans="1:22">
      <c r="A67" s="12">
        <v>68</v>
      </c>
      <c r="B67" s="29"/>
      <c r="C67" s="35"/>
      <c r="D67" s="35"/>
      <c r="E67" s="35"/>
      <c r="F67" s="40" t="s">
        <v>78</v>
      </c>
      <c r="G67" s="51" t="s">
        <v>263</v>
      </c>
      <c r="H67" s="42"/>
      <c r="I67" s="41" t="s">
        <v>264</v>
      </c>
      <c r="J67" s="59" t="s">
        <v>57</v>
      </c>
      <c r="K67" s="44" t="str">
        <f>Jawaban!K67</f>
        <v>Ya</v>
      </c>
      <c r="L67" s="56">
        <f>Jawaban!L67</f>
        <v>0</v>
      </c>
      <c r="M67" s="41" t="s">
        <v>265</v>
      </c>
      <c r="N67" s="176" t="s">
        <v>58</v>
      </c>
      <c r="O67" s="47">
        <f t="shared" si="16"/>
        <v>1</v>
      </c>
      <c r="P67" s="79"/>
      <c r="Q67" s="180" t="s">
        <v>593</v>
      </c>
      <c r="R67" s="178" t="str">
        <f>Jawaban!R67</f>
        <v>c. Terdapat penetapan Indikator Kinerja Utama (IKU).</v>
      </c>
      <c r="S67" s="51">
        <f>Jawaban!S67</f>
        <v>0</v>
      </c>
      <c r="T67" s="51">
        <f>Jawaban!T67</f>
        <v>0</v>
      </c>
      <c r="U67" s="51">
        <f>Jawaban!U67</f>
        <v>0</v>
      </c>
      <c r="V67" s="51">
        <f>Jawaban!V67</f>
        <v>0</v>
      </c>
    </row>
    <row r="68" ht="148.5" customHeight="1" spans="1:22">
      <c r="A68" s="12">
        <v>69</v>
      </c>
      <c r="B68" s="29"/>
      <c r="C68" s="35"/>
      <c r="D68" s="35"/>
      <c r="E68" s="35"/>
      <c r="F68" s="40" t="s">
        <v>112</v>
      </c>
      <c r="G68" s="51" t="s">
        <v>267</v>
      </c>
      <c r="H68" s="42"/>
      <c r="I68" s="51" t="s">
        <v>268</v>
      </c>
      <c r="J68" s="59" t="s">
        <v>87</v>
      </c>
      <c r="K68" s="44" t="str">
        <f>Jawaban!K68</f>
        <v>A</v>
      </c>
      <c r="L68" s="52">
        <f>Jawaban!L68</f>
        <v>0</v>
      </c>
      <c r="M68" s="41" t="s">
        <v>269</v>
      </c>
      <c r="N68" s="176" t="s">
        <v>65</v>
      </c>
      <c r="O68" s="47">
        <f t="shared" si="16"/>
        <v>1</v>
      </c>
      <c r="P68" s="79"/>
      <c r="Q68" s="180" t="s">
        <v>593</v>
      </c>
      <c r="R68" s="178" t="str">
        <f>Jawaban!R68</f>
        <v>d. Indikator kinerja telah telah memenuhi kriteria SMART.</v>
      </c>
      <c r="S68" s="51">
        <f>Jawaban!S68</f>
        <v>0</v>
      </c>
      <c r="T68" s="51">
        <f>Jawaban!T68</f>
        <v>0</v>
      </c>
      <c r="U68" s="51">
        <f>Jawaban!U68</f>
        <v>0</v>
      </c>
      <c r="V68" s="51">
        <f>Jawaban!V68</f>
        <v>0</v>
      </c>
    </row>
    <row r="69" ht="393.75" customHeight="1" spans="1:22">
      <c r="A69" s="12">
        <v>70</v>
      </c>
      <c r="B69" s="29"/>
      <c r="C69" s="35"/>
      <c r="D69" s="35"/>
      <c r="E69" s="35"/>
      <c r="F69" s="40" t="s">
        <v>201</v>
      </c>
      <c r="G69" s="51" t="s">
        <v>271</v>
      </c>
      <c r="H69" s="42"/>
      <c r="I69" s="41" t="s">
        <v>272</v>
      </c>
      <c r="J69" s="59" t="s">
        <v>57</v>
      </c>
      <c r="K69" s="44" t="str">
        <f>Jawaban!K69</f>
        <v>Ya</v>
      </c>
      <c r="L69" s="56">
        <f>Jawaban!L69</f>
        <v>0</v>
      </c>
      <c r="M69" s="41" t="s">
        <v>273</v>
      </c>
      <c r="N69" s="176" t="s">
        <v>58</v>
      </c>
      <c r="O69" s="47">
        <f t="shared" si="16"/>
        <v>1</v>
      </c>
      <c r="P69" s="79"/>
      <c r="Q69" s="180" t="s">
        <v>593</v>
      </c>
      <c r="R69" s="178" t="str">
        <f>Jawaban!R69</f>
        <v>e. Laporan kinerja telah disusun tepat waktu. </v>
      </c>
      <c r="S69" s="51">
        <f>Jawaban!S69</f>
        <v>0</v>
      </c>
      <c r="T69" s="51">
        <f>Jawaban!T69</f>
        <v>0</v>
      </c>
      <c r="U69" s="51">
        <f>Jawaban!U69</f>
        <v>0</v>
      </c>
      <c r="V69" s="51">
        <f>Jawaban!V69</f>
        <v>0</v>
      </c>
    </row>
    <row r="70" ht="108" customHeight="1" spans="1:22">
      <c r="A70" s="12">
        <v>71</v>
      </c>
      <c r="B70" s="29"/>
      <c r="C70" s="35"/>
      <c r="D70" s="35"/>
      <c r="E70" s="35"/>
      <c r="F70" s="40" t="s">
        <v>206</v>
      </c>
      <c r="G70" s="51" t="s">
        <v>275</v>
      </c>
      <c r="H70" s="42"/>
      <c r="I70" s="51" t="s">
        <v>276</v>
      </c>
      <c r="J70" s="59" t="s">
        <v>64</v>
      </c>
      <c r="K70" s="44" t="str">
        <f>Jawaban!K70</f>
        <v>A</v>
      </c>
      <c r="L70" s="52">
        <f>Jawaban!L70</f>
        <v>0</v>
      </c>
      <c r="M70" s="51" t="s">
        <v>277</v>
      </c>
      <c r="N70" s="176" t="s">
        <v>65</v>
      </c>
      <c r="O70" s="47">
        <f t="shared" si="16"/>
        <v>1</v>
      </c>
      <c r="P70" s="79"/>
      <c r="Q70" s="180" t="s">
        <v>593</v>
      </c>
      <c r="R70" s="178" t="str">
        <f>Jawaban!R70</f>
        <v>f. Laporan kinerja telah memberikan informasi tentang kinerja. </v>
      </c>
      <c r="S70" s="51">
        <f>Jawaban!S70</f>
        <v>0</v>
      </c>
      <c r="T70" s="51">
        <f>Jawaban!T70</f>
        <v>0</v>
      </c>
      <c r="U70" s="51">
        <f>Jawaban!U70</f>
        <v>0</v>
      </c>
      <c r="V70" s="51">
        <f>Jawaban!V70</f>
        <v>0</v>
      </c>
    </row>
    <row r="71" ht="226.5" customHeight="1" spans="1:22">
      <c r="A71" s="12">
        <v>72</v>
      </c>
      <c r="B71" s="29"/>
      <c r="C71" s="35"/>
      <c r="D71" s="35"/>
      <c r="E71" s="35"/>
      <c r="F71" s="40" t="s">
        <v>279</v>
      </c>
      <c r="G71" s="41" t="s">
        <v>280</v>
      </c>
      <c r="H71" s="42"/>
      <c r="I71" s="51" t="s">
        <v>281</v>
      </c>
      <c r="J71" s="59" t="s">
        <v>57</v>
      </c>
      <c r="K71" s="44" t="str">
        <f>Jawaban!K71</f>
        <v>Ya</v>
      </c>
      <c r="L71" s="51">
        <f>Jawaban!L71</f>
        <v>0</v>
      </c>
      <c r="M71" s="51" t="s">
        <v>282</v>
      </c>
      <c r="N71" s="176" t="s">
        <v>58</v>
      </c>
      <c r="O71" s="47">
        <f t="shared" si="16"/>
        <v>1</v>
      </c>
      <c r="P71" s="79"/>
      <c r="Q71" s="180" t="s">
        <v>593</v>
      </c>
      <c r="R71" s="178" t="str">
        <f>Jawaban!R71</f>
        <v>g. Terdapat sistem informasi/mekanisme informasi kinerja.</v>
      </c>
      <c r="S71" s="51">
        <f>Jawaban!S71</f>
        <v>0</v>
      </c>
      <c r="T71" s="51">
        <f>Jawaban!T71</f>
        <v>0</v>
      </c>
      <c r="U71" s="51">
        <f>Jawaban!U71</f>
        <v>0</v>
      </c>
      <c r="V71" s="51">
        <f>Jawaban!V71</f>
        <v>0</v>
      </c>
    </row>
    <row r="72" ht="15.75" customHeight="1" spans="1:22">
      <c r="A72" s="12">
        <v>73</v>
      </c>
      <c r="B72" s="29"/>
      <c r="C72" s="35"/>
      <c r="D72" s="35"/>
      <c r="E72" s="35"/>
      <c r="F72" s="40" t="s">
        <v>284</v>
      </c>
      <c r="G72" s="41" t="s">
        <v>285</v>
      </c>
      <c r="H72" s="42"/>
      <c r="I72" s="51" t="s">
        <v>286</v>
      </c>
      <c r="J72" s="59" t="s">
        <v>64</v>
      </c>
      <c r="K72" s="44" t="str">
        <f>Jawaban!K72</f>
        <v>A</v>
      </c>
      <c r="L72" s="52">
        <f>Jawaban!L72</f>
        <v>0</v>
      </c>
      <c r="M72" s="51" t="s">
        <v>287</v>
      </c>
      <c r="N72" s="176" t="s">
        <v>65</v>
      </c>
      <c r="O72" s="47">
        <f t="shared" si="16"/>
        <v>1</v>
      </c>
      <c r="P72" s="79"/>
      <c r="Q72" s="177" t="s">
        <v>593</v>
      </c>
      <c r="R72" s="178" t="str">
        <f>Jawaban!R72</f>
        <v>h. Unit kerja telah berupaya meningkatkan kapasitas SDM yang menangangi akuntabilitas kinerja.</v>
      </c>
      <c r="S72" s="51">
        <f>Jawaban!S72</f>
        <v>0</v>
      </c>
      <c r="T72" s="51">
        <f>Jawaban!T72</f>
        <v>0</v>
      </c>
      <c r="U72" s="51">
        <f>Jawaban!U72</f>
        <v>0</v>
      </c>
      <c r="V72" s="51">
        <f>Jawaban!V72</f>
        <v>0</v>
      </c>
    </row>
    <row r="73" ht="15.75" customHeight="1" spans="1:22">
      <c r="A73" s="12">
        <v>74</v>
      </c>
      <c r="B73" s="26"/>
      <c r="C73" s="61"/>
      <c r="D73" s="28" t="s">
        <v>19</v>
      </c>
      <c r="E73" s="29" t="s">
        <v>20</v>
      </c>
      <c r="F73" s="29"/>
      <c r="G73" s="30"/>
      <c r="H73" s="31">
        <v>7.5</v>
      </c>
      <c r="I73" s="32"/>
      <c r="J73" s="31"/>
      <c r="K73" s="31">
        <f>Jawaban!K73</f>
        <v>0</v>
      </c>
      <c r="L73" s="54">
        <f>Jawaban!L73</f>
        <v>0</v>
      </c>
      <c r="M73" s="55"/>
      <c r="N73" s="31"/>
      <c r="O73" s="31">
        <f>SUM(O74,O77,O82,O87,O91)</f>
        <v>7.5</v>
      </c>
      <c r="P73" s="33">
        <f t="shared" ref="P73:P74" si="17">O73/H73</f>
        <v>1</v>
      </c>
      <c r="Q73" s="80"/>
      <c r="R73" s="51">
        <f>Jawaban!R73</f>
        <v>0</v>
      </c>
      <c r="S73" s="51">
        <f>Jawaban!S73</f>
        <v>0</v>
      </c>
      <c r="T73" s="51">
        <f>Jawaban!T73</f>
        <v>0</v>
      </c>
      <c r="U73" s="51">
        <f>Jawaban!U73</f>
        <v>0</v>
      </c>
      <c r="V73" s="51">
        <f>Jawaban!V73</f>
        <v>0</v>
      </c>
    </row>
    <row r="74" ht="15.75" customHeight="1" spans="1:22">
      <c r="A74" s="12">
        <v>75</v>
      </c>
      <c r="B74" s="30"/>
      <c r="C74" s="35"/>
      <c r="D74" s="35"/>
      <c r="E74" s="35" t="s">
        <v>52</v>
      </c>
      <c r="F74" s="29" t="s">
        <v>289</v>
      </c>
      <c r="G74" s="30"/>
      <c r="H74" s="36">
        <v>1.5</v>
      </c>
      <c r="I74" s="37"/>
      <c r="J74" s="36"/>
      <c r="K74" s="36">
        <f>Jawaban!K74</f>
        <v>0</v>
      </c>
      <c r="L74" s="54">
        <f>Jawaban!L74</f>
        <v>0</v>
      </c>
      <c r="M74" s="55"/>
      <c r="N74" s="36"/>
      <c r="O74" s="36">
        <f>AVERAGE(O75:O76)*H74</f>
        <v>1.5</v>
      </c>
      <c r="P74" s="38">
        <f t="shared" si="17"/>
        <v>1</v>
      </c>
      <c r="Q74" s="81"/>
      <c r="R74" s="51">
        <f>Jawaban!R74</f>
        <v>0</v>
      </c>
      <c r="S74" s="51">
        <f>Jawaban!S74</f>
        <v>0</v>
      </c>
      <c r="T74" s="51">
        <f>Jawaban!T74</f>
        <v>0</v>
      </c>
      <c r="U74" s="51">
        <f>Jawaban!U74</f>
        <v>0</v>
      </c>
      <c r="V74" s="51">
        <f>Jawaban!V74</f>
        <v>0</v>
      </c>
    </row>
    <row r="75" ht="15.75" customHeight="1" spans="1:22">
      <c r="A75" s="12">
        <v>76</v>
      </c>
      <c r="B75" s="29"/>
      <c r="C75" s="35"/>
      <c r="D75" s="35"/>
      <c r="E75" s="35"/>
      <c r="F75" s="40" t="s">
        <v>54</v>
      </c>
      <c r="G75" s="41" t="s">
        <v>290</v>
      </c>
      <c r="H75" s="42"/>
      <c r="I75" s="51" t="s">
        <v>291</v>
      </c>
      <c r="J75" s="59" t="s">
        <v>64</v>
      </c>
      <c r="K75" s="44" t="str">
        <f>Jawaban!K75</f>
        <v>A</v>
      </c>
      <c r="L75" s="56">
        <f>Jawaban!L75</f>
        <v>0</v>
      </c>
      <c r="M75" s="51" t="s">
        <v>292</v>
      </c>
      <c r="N75" s="176" t="s">
        <v>65</v>
      </c>
      <c r="O75" s="47">
        <f t="shared" ref="O75:O76" si="18">IF(J75="Ya/Tidak",IF(N75="Ya",1,IF(N75="Tidak",0,"Blm Diisi")),IF(J75="A/B/C",IF(N75="A",1,IF(N75="B",0.5,IF(N75="C",0,"Blm Diisi"))),IF(J75="A/B/C/D",IF(N75="A",1,IF(N75="B",0.67,IF(N75="C",0.33,IF(N75="D",0,"Blm Diisi")))),IF(J75="A/B/C/D/E",IF(N75="A",1,IF(N75="B",0.75,IF(N75="C",0.5,IF(N75="D",0.25,IF(N75="E",0,"Blm Diisi"))))),IF(J75="%",IF(N75="","Blm Diisi",N75),IF(J75="Jumlah",IF(N75="","Blm Diisi",""),IF(J75="Rupiah",IF(N75="","Blm Diisi",""),IF(J75="","","-"))))))))</f>
        <v>1</v>
      </c>
      <c r="P75" s="48"/>
      <c r="Q75" s="192" t="s">
        <v>593</v>
      </c>
      <c r="R75" s="178" t="str">
        <f>Jawaban!R75</f>
        <v>a. Telah dilakukan public campaign tentang pengendalian gratifikasi.</v>
      </c>
      <c r="S75" s="51">
        <f>Jawaban!S75</f>
        <v>0</v>
      </c>
      <c r="T75" s="51">
        <f>Jawaban!T75</f>
        <v>0</v>
      </c>
      <c r="U75" s="51">
        <f>Jawaban!U75</f>
        <v>0</v>
      </c>
      <c r="V75" s="51">
        <f>Jawaban!V75</f>
        <v>0</v>
      </c>
    </row>
    <row r="76" ht="15.75" customHeight="1" spans="1:22">
      <c r="A76" s="12">
        <v>77</v>
      </c>
      <c r="B76" s="29"/>
      <c r="C76" s="35"/>
      <c r="D76" s="35"/>
      <c r="E76" s="35"/>
      <c r="F76" s="40" t="s">
        <v>61</v>
      </c>
      <c r="G76" s="41" t="s">
        <v>294</v>
      </c>
      <c r="H76" s="42"/>
      <c r="I76" s="51" t="s">
        <v>295</v>
      </c>
      <c r="J76" s="59" t="s">
        <v>87</v>
      </c>
      <c r="K76" s="44" t="str">
        <f>Jawaban!K76</f>
        <v>A</v>
      </c>
      <c r="L76" s="56">
        <f>Jawaban!L76</f>
        <v>0</v>
      </c>
      <c r="M76" s="51" t="s">
        <v>296</v>
      </c>
      <c r="N76" s="176" t="s">
        <v>65</v>
      </c>
      <c r="O76" s="47">
        <f t="shared" si="18"/>
        <v>1</v>
      </c>
      <c r="P76" s="48"/>
      <c r="Q76" s="193" t="s">
        <v>593</v>
      </c>
      <c r="R76" s="178" t="str">
        <f>Jawaban!R76</f>
        <v>b. Pengendalian gratifikasi telah diimplementasikan.</v>
      </c>
      <c r="S76" s="51">
        <f>Jawaban!S76</f>
        <v>0</v>
      </c>
      <c r="T76" s="51">
        <f>Jawaban!T76</f>
        <v>0</v>
      </c>
      <c r="U76" s="51">
        <f>Jawaban!U76</f>
        <v>0</v>
      </c>
      <c r="V76" s="51">
        <f>Jawaban!V76</f>
        <v>0</v>
      </c>
    </row>
    <row r="77" ht="15.75" customHeight="1" spans="1:22">
      <c r="A77" s="12">
        <v>78</v>
      </c>
      <c r="B77" s="30"/>
      <c r="C77" s="35"/>
      <c r="D77" s="35"/>
      <c r="E77" s="35" t="s">
        <v>68</v>
      </c>
      <c r="F77" s="29" t="s">
        <v>298</v>
      </c>
      <c r="G77" s="30"/>
      <c r="H77" s="36">
        <v>1.5</v>
      </c>
      <c r="I77" s="37"/>
      <c r="J77" s="36"/>
      <c r="K77" s="36">
        <f>Jawaban!K77</f>
        <v>0</v>
      </c>
      <c r="L77" s="54">
        <f>Jawaban!L77</f>
        <v>0</v>
      </c>
      <c r="M77" s="55"/>
      <c r="N77" s="36"/>
      <c r="O77" s="36">
        <f>AVERAGE(O78:O81)*H77</f>
        <v>1.5</v>
      </c>
      <c r="P77" s="38">
        <f>O77/H77</f>
        <v>1</v>
      </c>
      <c r="Q77" s="78"/>
      <c r="R77" s="51">
        <f>Jawaban!R77</f>
        <v>0</v>
      </c>
      <c r="S77" s="51">
        <f>Jawaban!S77</f>
        <v>0</v>
      </c>
      <c r="T77" s="51">
        <f>Jawaban!T77</f>
        <v>0</v>
      </c>
      <c r="U77" s="51">
        <f>Jawaban!U77</f>
        <v>0</v>
      </c>
      <c r="V77" s="51">
        <f>Jawaban!V77</f>
        <v>0</v>
      </c>
    </row>
    <row r="78" ht="258.75" customHeight="1" spans="1:22">
      <c r="A78" s="12">
        <v>79</v>
      </c>
      <c r="B78" s="29"/>
      <c r="C78" s="35"/>
      <c r="D78" s="35"/>
      <c r="E78" s="35"/>
      <c r="F78" s="40" t="s">
        <v>54</v>
      </c>
      <c r="G78" s="41" t="s">
        <v>299</v>
      </c>
      <c r="H78" s="42"/>
      <c r="I78" s="51" t="s">
        <v>300</v>
      </c>
      <c r="J78" s="59" t="s">
        <v>124</v>
      </c>
      <c r="K78" s="44" t="str">
        <f>Jawaban!K78</f>
        <v>A</v>
      </c>
      <c r="L78" s="52">
        <f>Jawaban!L78</f>
        <v>0</v>
      </c>
      <c r="M78" s="51" t="s">
        <v>301</v>
      </c>
      <c r="N78" s="176" t="s">
        <v>65</v>
      </c>
      <c r="O78" s="47">
        <f t="shared" ref="O78:O81" si="19">IF(J78="Ya/Tidak",IF(N78="Ya",1,IF(N78="Tidak",0,"Blm Diisi")),IF(J78="A/B/C",IF(N78="A",1,IF(N78="B",0.5,IF(N78="C",0,"Blm Diisi"))),IF(J78="A/B/C/D",IF(N78="A",1,IF(N78="B",0.67,IF(N78="C",0.33,IF(N78="D",0,"Blm Diisi")))),IF(J78="A/B/C/D/E",IF(N78="A",1,IF(N78="B",0.75,IF(N78="C",0.5,IF(N78="D",0.25,IF(N78="E",0,"Blm Diisi"))))),IF(J78="%",IF(N78="","Blm Diisi",N78),IF(J78="Jumlah",IF(N78="","Blm Diisi",""),IF(J78="Rupiah",IF(N78="","Blm Diisi",""),IF(J78="","","-"))))))))</f>
        <v>1</v>
      </c>
      <c r="P78" s="79"/>
      <c r="Q78" s="194" t="s">
        <v>593</v>
      </c>
      <c r="R78" s="178" t="str">
        <f>Jawaban!R78</f>
        <v>a. Telah dibangun lingkungan pengendalian.</v>
      </c>
      <c r="S78" s="51">
        <f>Jawaban!S78</f>
        <v>0</v>
      </c>
      <c r="T78" s="51">
        <f>Jawaban!T78</f>
        <v>0</v>
      </c>
      <c r="U78" s="51">
        <f>Jawaban!U78</f>
        <v>0</v>
      </c>
      <c r="V78" s="51">
        <f>Jawaban!V78</f>
        <v>0</v>
      </c>
    </row>
    <row r="79" ht="15.75" customHeight="1" spans="1:22">
      <c r="A79" s="12">
        <v>80</v>
      </c>
      <c r="B79" s="29"/>
      <c r="C79" s="35"/>
      <c r="D79" s="35"/>
      <c r="E79" s="35"/>
      <c r="F79" s="40" t="s">
        <v>61</v>
      </c>
      <c r="G79" s="41" t="s">
        <v>303</v>
      </c>
      <c r="H79" s="42"/>
      <c r="I79" s="51" t="s">
        <v>304</v>
      </c>
      <c r="J79" s="59" t="s">
        <v>124</v>
      </c>
      <c r="K79" s="44" t="str">
        <f>Jawaban!K79</f>
        <v>A</v>
      </c>
      <c r="L79" s="52">
        <f>Jawaban!L79</f>
        <v>0</v>
      </c>
      <c r="M79" s="51" t="s">
        <v>305</v>
      </c>
      <c r="N79" s="176" t="s">
        <v>65</v>
      </c>
      <c r="O79" s="47">
        <f t="shared" si="19"/>
        <v>1</v>
      </c>
      <c r="P79" s="79"/>
      <c r="Q79" s="195" t="s">
        <v>593</v>
      </c>
      <c r="R79" s="178" t="str">
        <f>Jawaban!R79</f>
        <v>b. Telah dilakukan penilaian risiko atas pelaksanaan kebijakan.</v>
      </c>
      <c r="S79" s="51">
        <f>Jawaban!S79</f>
        <v>0</v>
      </c>
      <c r="T79" s="51">
        <f>Jawaban!T79</f>
        <v>0</v>
      </c>
      <c r="U79" s="51">
        <f>Jawaban!U79</f>
        <v>0</v>
      </c>
      <c r="V79" s="51">
        <f>Jawaban!V79</f>
        <v>0</v>
      </c>
    </row>
    <row r="80" ht="181.5" customHeight="1" spans="1:22">
      <c r="A80" s="12">
        <v>81</v>
      </c>
      <c r="B80" s="29"/>
      <c r="C80" s="35"/>
      <c r="D80" s="35"/>
      <c r="E80" s="35"/>
      <c r="F80" s="40" t="s">
        <v>78</v>
      </c>
      <c r="G80" s="41" t="s">
        <v>307</v>
      </c>
      <c r="H80" s="42"/>
      <c r="I80" s="51" t="s">
        <v>308</v>
      </c>
      <c r="J80" s="59" t="s">
        <v>64</v>
      </c>
      <c r="K80" s="44" t="str">
        <f>Jawaban!K80</f>
        <v>A</v>
      </c>
      <c r="L80" s="56">
        <f>Jawaban!L80</f>
        <v>0</v>
      </c>
      <c r="M80" s="51" t="s">
        <v>309</v>
      </c>
      <c r="N80" s="176" t="s">
        <v>65</v>
      </c>
      <c r="O80" s="47">
        <f t="shared" si="19"/>
        <v>1</v>
      </c>
      <c r="P80" s="79"/>
      <c r="Q80" s="195" t="s">
        <v>593</v>
      </c>
      <c r="R80" s="178" t="str">
        <f>Jawaban!R80</f>
        <v>c. Telah dilakukan kegiatan pengendalian untuk meminimalisir risiko yang telah diidentifikasi.</v>
      </c>
      <c r="S80" s="51">
        <f>Jawaban!S80</f>
        <v>0</v>
      </c>
      <c r="T80" s="51">
        <f>Jawaban!T80</f>
        <v>0</v>
      </c>
      <c r="U80" s="51">
        <f>Jawaban!U80</f>
        <v>0</v>
      </c>
      <c r="V80" s="51">
        <f>Jawaban!V80</f>
        <v>0</v>
      </c>
    </row>
    <row r="81" ht="15.75" customHeight="1" spans="1:22">
      <c r="A81" s="12">
        <v>82</v>
      </c>
      <c r="B81" s="29"/>
      <c r="C81" s="35"/>
      <c r="D81" s="35"/>
      <c r="E81" s="35"/>
      <c r="F81" s="40" t="s">
        <v>112</v>
      </c>
      <c r="G81" s="41" t="s">
        <v>311</v>
      </c>
      <c r="H81" s="42"/>
      <c r="I81" s="51" t="s">
        <v>312</v>
      </c>
      <c r="J81" s="59" t="s">
        <v>64</v>
      </c>
      <c r="K81" s="44" t="str">
        <f>Jawaban!K81</f>
        <v>A</v>
      </c>
      <c r="L81" s="56">
        <f>Jawaban!L81</f>
        <v>0</v>
      </c>
      <c r="M81" s="51" t="s">
        <v>313</v>
      </c>
      <c r="N81" s="176" t="s">
        <v>65</v>
      </c>
      <c r="O81" s="47">
        <f t="shared" si="19"/>
        <v>1</v>
      </c>
      <c r="P81" s="79"/>
      <c r="Q81" s="195" t="s">
        <v>593</v>
      </c>
      <c r="R81" s="178" t="str">
        <f>Jawaban!R81</f>
        <v>d. SPI telah diinformasikan dan dikomunikasikan kepada seluruh pihak terkait.</v>
      </c>
      <c r="S81" s="51">
        <f>Jawaban!S81</f>
        <v>0</v>
      </c>
      <c r="T81" s="51">
        <f>Jawaban!T81</f>
        <v>0</v>
      </c>
      <c r="U81" s="51">
        <f>Jawaban!U81</f>
        <v>0</v>
      </c>
      <c r="V81" s="51">
        <f>Jawaban!V81</f>
        <v>0</v>
      </c>
    </row>
    <row r="82" ht="15.75" customHeight="1" spans="1:22">
      <c r="A82" s="12">
        <v>83</v>
      </c>
      <c r="B82" s="30"/>
      <c r="C82" s="35"/>
      <c r="D82" s="35"/>
      <c r="E82" s="35" t="s">
        <v>83</v>
      </c>
      <c r="F82" s="29" t="s">
        <v>315</v>
      </c>
      <c r="G82" s="30"/>
      <c r="H82" s="36">
        <v>1.5</v>
      </c>
      <c r="I82" s="37"/>
      <c r="J82" s="36"/>
      <c r="K82" s="36">
        <f>Jawaban!K82</f>
        <v>0</v>
      </c>
      <c r="L82" s="54">
        <f>Jawaban!L82</f>
        <v>0</v>
      </c>
      <c r="M82" s="55"/>
      <c r="N82" s="36"/>
      <c r="O82" s="36">
        <f>AVERAGE(O83:O86)*H82</f>
        <v>1.5</v>
      </c>
      <c r="P82" s="83">
        <f>O82/H82</f>
        <v>1</v>
      </c>
      <c r="Q82" s="39"/>
      <c r="R82" s="51">
        <f>Jawaban!R82</f>
        <v>0</v>
      </c>
      <c r="S82" s="51">
        <f>Jawaban!S82</f>
        <v>0</v>
      </c>
      <c r="T82" s="51">
        <f>Jawaban!T82</f>
        <v>0</v>
      </c>
      <c r="U82" s="51">
        <f>Jawaban!U82</f>
        <v>0</v>
      </c>
      <c r="V82" s="51">
        <f>Jawaban!V82</f>
        <v>0</v>
      </c>
    </row>
    <row r="83" ht="195" customHeight="1" spans="1:22">
      <c r="A83" s="12">
        <v>84</v>
      </c>
      <c r="B83" s="29"/>
      <c r="C83" s="35"/>
      <c r="D83" s="35"/>
      <c r="E83" s="35"/>
      <c r="F83" s="40" t="s">
        <v>54</v>
      </c>
      <c r="G83" s="41" t="s">
        <v>316</v>
      </c>
      <c r="H83" s="42"/>
      <c r="I83" s="51" t="s">
        <v>595</v>
      </c>
      <c r="J83" s="59" t="s">
        <v>64</v>
      </c>
      <c r="K83" s="44" t="str">
        <f>Jawaban!K83</f>
        <v>A</v>
      </c>
      <c r="L83" s="52">
        <f>Jawaban!L83</f>
        <v>0</v>
      </c>
      <c r="M83" s="51" t="s">
        <v>318</v>
      </c>
      <c r="N83" s="176" t="s">
        <v>65</v>
      </c>
      <c r="O83" s="47">
        <f t="shared" ref="O83:O86" si="20">IF(J83="Ya/Tidak",IF(N83="Ya",1,IF(N83="Tidak",0,"Blm Diisi")),IF(J83="A/B/C",IF(N83="A",1,IF(N83="B",0.5,IF(N83="C",0,"Blm Diisi"))),IF(J83="A/B/C/D",IF(N83="A",1,IF(N83="B",0.67,IF(N83="C",0.33,IF(N83="D",0,"Blm Diisi")))),IF(J83="A/B/C/D/E",IF(N83="A",1,IF(N83="B",0.75,IF(N83="C",0.5,IF(N83="D",0.25,IF(N83="E",0,"Blm Diisi"))))),IF(J83="%",IF(N83="","Blm Diisi",N83),IF(J83="Jumlah",IF(N83="","Blm Diisi",""),IF(J83="Rupiah",IF(N83="","Blm Diisi",""),IF(J83="","","-"))))))))</f>
        <v>1</v>
      </c>
      <c r="P83" s="79"/>
      <c r="Q83" s="177" t="s">
        <v>593</v>
      </c>
      <c r="R83" s="178" t="str">
        <f>Jawaban!R83</f>
        <v>a. Kebijakan Pengaduan masyarakat telah diimplementasikan. </v>
      </c>
      <c r="S83" s="51">
        <f>Jawaban!S83</f>
        <v>0</v>
      </c>
      <c r="T83" s="51">
        <f>Jawaban!T83</f>
        <v>0</v>
      </c>
      <c r="U83" s="51">
        <f>Jawaban!U83</f>
        <v>0</v>
      </c>
      <c r="V83" s="51">
        <f>Jawaban!V83</f>
        <v>0</v>
      </c>
    </row>
    <row r="84" ht="87" customHeight="1" spans="1:22">
      <c r="B84" s="29"/>
      <c r="C84" s="35"/>
      <c r="D84" s="35"/>
      <c r="E84" s="35"/>
      <c r="F84" s="40" t="s">
        <v>61</v>
      </c>
      <c r="G84" s="41" t="s">
        <v>320</v>
      </c>
      <c r="H84" s="42"/>
      <c r="I84" s="51" t="s">
        <v>321</v>
      </c>
      <c r="J84" s="59" t="s">
        <v>57</v>
      </c>
      <c r="K84" s="44" t="str">
        <f>Jawaban!K84</f>
        <v>Ya</v>
      </c>
      <c r="L84" s="54">
        <f>Jawaban!L84</f>
        <v>0</v>
      </c>
      <c r="M84" s="51" t="s">
        <v>322</v>
      </c>
      <c r="N84" s="176" t="s">
        <v>58</v>
      </c>
      <c r="O84" s="47">
        <f t="shared" si="20"/>
        <v>1</v>
      </c>
      <c r="P84" s="79"/>
      <c r="Q84" s="180" t="s">
        <v>593</v>
      </c>
      <c r="R84" s="178" t="str">
        <f>Jawaban!R84</f>
        <v>b. pengaduan masyarakat dtindaklanjuti. </v>
      </c>
      <c r="S84" s="51">
        <f>Jawaban!S84</f>
        <v>0</v>
      </c>
      <c r="T84" s="51">
        <f>Jawaban!T84</f>
        <v>0</v>
      </c>
      <c r="U84" s="51">
        <f>Jawaban!U84</f>
        <v>0</v>
      </c>
      <c r="V84" s="51">
        <f>Jawaban!V84</f>
        <v>0</v>
      </c>
    </row>
    <row r="85" ht="141.75" customHeight="1" spans="1:22">
      <c r="A85" s="12">
        <v>89</v>
      </c>
      <c r="B85" s="29"/>
      <c r="C85" s="35"/>
      <c r="D85" s="35"/>
      <c r="E85" s="35"/>
      <c r="F85" s="40" t="s">
        <v>78</v>
      </c>
      <c r="G85" s="41" t="s">
        <v>324</v>
      </c>
      <c r="H85" s="42"/>
      <c r="I85" s="51" t="s">
        <v>596</v>
      </c>
      <c r="J85" s="59" t="s">
        <v>64</v>
      </c>
      <c r="K85" s="44" t="str">
        <f>Jawaban!K85</f>
        <v>A</v>
      </c>
      <c r="L85" s="52">
        <f>Jawaban!L85</f>
        <v>0</v>
      </c>
      <c r="M85" s="51" t="s">
        <v>326</v>
      </c>
      <c r="N85" s="176" t="s">
        <v>65</v>
      </c>
      <c r="O85" s="47">
        <f t="shared" si="20"/>
        <v>1</v>
      </c>
      <c r="P85" s="79"/>
      <c r="Q85" s="180" t="s">
        <v>593</v>
      </c>
      <c r="R85" s="178" t="str">
        <f>Jawaban!R85</f>
        <v>c. Telah dilakukan monitoring dan evaluasi atas penanganan pengaduan masyarakat. </v>
      </c>
      <c r="S85" s="51">
        <f>Jawaban!S85</f>
        <v>0</v>
      </c>
      <c r="T85" s="51">
        <f>Jawaban!T85</f>
        <v>0</v>
      </c>
      <c r="U85" s="51">
        <f>Jawaban!U85</f>
        <v>0</v>
      </c>
      <c r="V85" s="51">
        <f>Jawaban!V85</f>
        <v>0</v>
      </c>
    </row>
    <row r="86" ht="15.75" customHeight="1" spans="1:22">
      <c r="A86" s="12">
        <v>90</v>
      </c>
      <c r="B86" s="29"/>
      <c r="C86" s="35"/>
      <c r="D86" s="35"/>
      <c r="E86" s="35"/>
      <c r="F86" s="40" t="s">
        <v>112</v>
      </c>
      <c r="G86" s="41" t="s">
        <v>328</v>
      </c>
      <c r="H86" s="42"/>
      <c r="I86" s="51" t="s">
        <v>329</v>
      </c>
      <c r="J86" s="59" t="s">
        <v>64</v>
      </c>
      <c r="K86" s="44" t="str">
        <f>Jawaban!K86</f>
        <v>A</v>
      </c>
      <c r="L86" s="56">
        <f>Jawaban!L86</f>
        <v>0</v>
      </c>
      <c r="M86" s="51" t="s">
        <v>330</v>
      </c>
      <c r="N86" s="176" t="s">
        <v>65</v>
      </c>
      <c r="O86" s="47">
        <f t="shared" si="20"/>
        <v>1</v>
      </c>
      <c r="P86" s="79"/>
      <c r="Q86" s="180" t="s">
        <v>593</v>
      </c>
      <c r="R86" s="178" t="str">
        <f>Jawaban!R86</f>
        <v>d. Hasil evaluasi atas penanganan pengaduan masyarakat telah ditindaklanjuti. </v>
      </c>
      <c r="S86" s="51">
        <f>Jawaban!S86</f>
        <v>0</v>
      </c>
      <c r="T86" s="51">
        <f>Jawaban!T86</f>
        <v>0</v>
      </c>
      <c r="U86" s="51">
        <f>Jawaban!U86</f>
        <v>0</v>
      </c>
      <c r="V86" s="51">
        <f>Jawaban!V86</f>
        <v>0</v>
      </c>
    </row>
    <row r="87" ht="15.75" customHeight="1" spans="1:22">
      <c r="A87" s="12">
        <v>91</v>
      </c>
      <c r="B87" s="30"/>
      <c r="C87" s="35"/>
      <c r="D87" s="35"/>
      <c r="E87" s="35" t="s">
        <v>98</v>
      </c>
      <c r="F87" s="84" t="s">
        <v>332</v>
      </c>
      <c r="G87" s="85"/>
      <c r="H87" s="36">
        <v>1.5</v>
      </c>
      <c r="I87" s="37"/>
      <c r="J87" s="36"/>
      <c r="K87" s="36">
        <f>Jawaban!K87</f>
        <v>0</v>
      </c>
      <c r="L87" s="54">
        <f>Jawaban!L87</f>
        <v>0</v>
      </c>
      <c r="M87" s="55"/>
      <c r="N87" s="36"/>
      <c r="O87" s="36">
        <f>AVERAGE(O88:O90)*H87</f>
        <v>1.5</v>
      </c>
      <c r="P87" s="83">
        <f>O87/H87</f>
        <v>1</v>
      </c>
      <c r="Q87" s="39"/>
      <c r="R87" s="51">
        <f>Jawaban!R87</f>
        <v>0</v>
      </c>
      <c r="S87" s="51">
        <f>Jawaban!S87</f>
        <v>0</v>
      </c>
      <c r="T87" s="51">
        <f>Jawaban!T87</f>
        <v>0</v>
      </c>
      <c r="U87" s="51">
        <f>Jawaban!U87</f>
        <v>0</v>
      </c>
      <c r="V87" s="51">
        <f>Jawaban!V87</f>
        <v>0</v>
      </c>
    </row>
    <row r="88" ht="183" customHeight="1" spans="1:22">
      <c r="A88" s="12">
        <v>93</v>
      </c>
      <c r="B88" s="29"/>
      <c r="C88" s="29"/>
      <c r="D88" s="29"/>
      <c r="E88" s="29"/>
      <c r="F88" s="86" t="s">
        <v>54</v>
      </c>
      <c r="G88" s="41" t="s">
        <v>333</v>
      </c>
      <c r="H88" s="42"/>
      <c r="I88" s="51" t="s">
        <v>334</v>
      </c>
      <c r="J88" s="59" t="s">
        <v>64</v>
      </c>
      <c r="K88" s="44" t="str">
        <f>Jawaban!K88</f>
        <v>A</v>
      </c>
      <c r="L88" s="52">
        <f>Jawaban!L88</f>
        <v>0</v>
      </c>
      <c r="M88" s="51" t="s">
        <v>335</v>
      </c>
      <c r="N88" s="176" t="s">
        <v>65</v>
      </c>
      <c r="O88" s="47">
        <f t="shared" ref="O88:O90" si="21">IF(J88="Ya/Tidak",IF(N88="Ya",1,IF(N88="Tidak",0,"Blm Diisi")),IF(J88="A/B/C",IF(N88="A",1,IF(N88="B",0.5,IF(N88="C",0,"Blm Diisi"))),IF(J88="A/B/C/D",IF(N88="A",1,IF(N88="B",0.67,IF(N88="C",0.33,IF(N88="D",0,"Blm Diisi")))),IF(J88="A/B/C/D/E",IF(N88="A",1,IF(N88="B",0.75,IF(N88="C",0.5,IF(N88="D",0.25,IF(N88="E",0,"Blm Diisi"))))),IF(J88="%",IF(N88="","Blm Diisi",N88),IF(J88="Jumlah",IF(N88="","Blm Diisi",""),IF(J88="Rupiah",IF(N88="","Blm Diisi",""),IF(J88="","","-"))))))))</f>
        <v>1</v>
      </c>
      <c r="P88" s="79"/>
      <c r="Q88" s="177" t="s">
        <v>593</v>
      </c>
      <c r="R88" s="178" t="str">
        <f>Jawaban!R88</f>
        <v>a. Whistle Blowing System telah diterapkan.</v>
      </c>
      <c r="S88" s="51">
        <f>Jawaban!S88</f>
        <v>0</v>
      </c>
      <c r="T88" s="51">
        <f>Jawaban!T88</f>
        <v>0</v>
      </c>
      <c r="U88" s="51">
        <f>Jawaban!U88</f>
        <v>0</v>
      </c>
      <c r="V88" s="51">
        <f>Jawaban!V88</f>
        <v>0</v>
      </c>
    </row>
    <row r="89" ht="138" customHeight="1" spans="1:22">
      <c r="A89" s="12">
        <v>94</v>
      </c>
      <c r="B89" s="29"/>
      <c r="C89" s="35"/>
      <c r="D89" s="35"/>
      <c r="E89" s="35"/>
      <c r="F89" s="40" t="s">
        <v>61</v>
      </c>
      <c r="G89" s="41" t="s">
        <v>337</v>
      </c>
      <c r="H89" s="42"/>
      <c r="I89" s="51" t="s">
        <v>338</v>
      </c>
      <c r="J89" s="59" t="s">
        <v>64</v>
      </c>
      <c r="K89" s="44" t="str">
        <f>Jawaban!K89</f>
        <v>A</v>
      </c>
      <c r="L89" s="52">
        <f>Jawaban!L89</f>
        <v>0</v>
      </c>
      <c r="M89" s="51" t="s">
        <v>339</v>
      </c>
      <c r="N89" s="176" t="s">
        <v>65</v>
      </c>
      <c r="O89" s="47">
        <f t="shared" si="21"/>
        <v>1</v>
      </c>
      <c r="P89" s="79"/>
      <c r="Q89" s="177" t="s">
        <v>593</v>
      </c>
      <c r="R89" s="178" t="str">
        <f>Jawaban!R89</f>
        <v>b. Telah dilakukan evaluasi atas penerapan Whistle Blowing System.</v>
      </c>
      <c r="S89" s="51">
        <f>Jawaban!S89</f>
        <v>0</v>
      </c>
      <c r="T89" s="51">
        <f>Jawaban!T89</f>
        <v>0</v>
      </c>
      <c r="U89" s="51">
        <f>Jawaban!U89</f>
        <v>0</v>
      </c>
      <c r="V89" s="51">
        <f>Jawaban!V89</f>
        <v>0</v>
      </c>
    </row>
    <row r="90" ht="132" customHeight="1" spans="1:22">
      <c r="A90" s="12">
        <v>95</v>
      </c>
      <c r="B90" s="29"/>
      <c r="C90" s="35"/>
      <c r="D90" s="35"/>
      <c r="E90" s="35"/>
      <c r="F90" s="40" t="s">
        <v>78</v>
      </c>
      <c r="G90" s="41" t="s">
        <v>341</v>
      </c>
      <c r="H90" s="42"/>
      <c r="I90" s="51" t="s">
        <v>342</v>
      </c>
      <c r="J90" s="59" t="s">
        <v>64</v>
      </c>
      <c r="K90" s="44" t="str">
        <f>Jawaban!K90</f>
        <v>A</v>
      </c>
      <c r="L90" s="56">
        <f>Jawaban!L90</f>
        <v>0</v>
      </c>
      <c r="M90" s="51" t="s">
        <v>343</v>
      </c>
      <c r="N90" s="176" t="s">
        <v>65</v>
      </c>
      <c r="O90" s="47">
        <f t="shared" si="21"/>
        <v>1</v>
      </c>
      <c r="P90" s="79"/>
      <c r="Q90" s="177" t="s">
        <v>593</v>
      </c>
      <c r="R90" s="178" t="str">
        <f>Jawaban!R90</f>
        <v>c. Hasil evaluasi atas penerapan Whistle Blowing System telah ditindaklanjuti.</v>
      </c>
      <c r="S90" s="51">
        <f>Jawaban!S90</f>
        <v>0</v>
      </c>
      <c r="T90" s="51">
        <f>Jawaban!T90</f>
        <v>0</v>
      </c>
      <c r="U90" s="51">
        <f>Jawaban!U90</f>
        <v>0</v>
      </c>
      <c r="V90" s="51">
        <f>Jawaban!V90</f>
        <v>0</v>
      </c>
    </row>
    <row r="91" ht="15.75" customHeight="1" spans="1:22">
      <c r="A91" s="12">
        <v>96</v>
      </c>
      <c r="B91" s="30"/>
      <c r="C91" s="35"/>
      <c r="D91" s="35"/>
      <c r="E91" s="35" t="s">
        <v>229</v>
      </c>
      <c r="F91" s="29" t="s">
        <v>345</v>
      </c>
      <c r="G91" s="30"/>
      <c r="H91" s="36">
        <v>1.5</v>
      </c>
      <c r="I91" s="37"/>
      <c r="J91" s="36"/>
      <c r="K91" s="36">
        <f>Jawaban!K91</f>
        <v>0</v>
      </c>
      <c r="L91" s="54">
        <f>Jawaban!L91</f>
        <v>0</v>
      </c>
      <c r="M91" s="55"/>
      <c r="N91" s="36"/>
      <c r="O91" s="36">
        <f>AVERAGE(O92:O96)*H91</f>
        <v>1.5</v>
      </c>
      <c r="P91" s="83">
        <f>O91/H91</f>
        <v>1</v>
      </c>
      <c r="Q91" s="39"/>
      <c r="R91" s="51">
        <f>Jawaban!R91</f>
        <v>0</v>
      </c>
      <c r="S91" s="51">
        <f>Jawaban!S91</f>
        <v>0</v>
      </c>
      <c r="T91" s="51">
        <f>Jawaban!T91</f>
        <v>0</v>
      </c>
      <c r="U91" s="51">
        <f>Jawaban!U91</f>
        <v>0</v>
      </c>
      <c r="V91" s="51">
        <f>Jawaban!V91</f>
        <v>0</v>
      </c>
    </row>
    <row r="92" ht="199.5" customHeight="1" spans="1:22">
      <c r="A92" s="12">
        <v>97</v>
      </c>
      <c r="B92" s="29"/>
      <c r="C92" s="35"/>
      <c r="D92" s="35"/>
      <c r="E92" s="35"/>
      <c r="F92" s="40" t="s">
        <v>54</v>
      </c>
      <c r="G92" s="41" t="s">
        <v>346</v>
      </c>
      <c r="H92" s="42"/>
      <c r="I92" s="51" t="s">
        <v>347</v>
      </c>
      <c r="J92" s="59" t="s">
        <v>87</v>
      </c>
      <c r="K92" s="44" t="str">
        <f>Jawaban!K92</f>
        <v>A</v>
      </c>
      <c r="L92" s="56">
        <f>Jawaban!L92</f>
        <v>0</v>
      </c>
      <c r="M92" s="51" t="s">
        <v>348</v>
      </c>
      <c r="N92" s="176" t="s">
        <v>65</v>
      </c>
      <c r="O92" s="47">
        <f t="shared" ref="O92:O96" si="22">IF(J92="Ya/Tidak",IF(N92="Ya",1,IF(N92="Tidak",0,"Blm Diisi")),IF(J92="A/B/C",IF(N92="A",1,IF(N92="B",0.5,IF(N92="C",0,"Blm Diisi"))),IF(J92="A/B/C/D",IF(N92="A",1,IF(N92="B",0.67,IF(N92="C",0.33,IF(N92="D",0,"Blm Diisi")))),IF(J92="A/B/C/D/E",IF(N92="A",1,IF(N92="B",0.75,IF(N92="C",0.5,IF(N92="D",0.25,IF(N92="E",0,"Blm Diisi"))))),IF(J92="%",IF(N92="","Blm Diisi",N92),IF(J92="Jumlah",IF(N92="","Blm Diisi",""),IF(J92="Rupiah",IF(N92="","Blm Diisi",""),IF(J92="","","-"))))))))</f>
        <v>1</v>
      </c>
      <c r="P92" s="79"/>
      <c r="Q92" s="186" t="s">
        <v>593</v>
      </c>
      <c r="R92" s="178" t="str">
        <f>Jawaban!R92</f>
        <v>a. Telah terdapat identifikasi/pemetaan benturan kepentingan dalam tugas fungsi utama.</v>
      </c>
      <c r="S92" s="51">
        <f>Jawaban!S92</f>
        <v>0</v>
      </c>
      <c r="T92" s="51">
        <f>Jawaban!T92</f>
        <v>0</v>
      </c>
      <c r="U92" s="51">
        <f>Jawaban!U92</f>
        <v>0</v>
      </c>
      <c r="V92" s="51">
        <f>Jawaban!V92</f>
        <v>0</v>
      </c>
    </row>
    <row r="93" ht="15.75" customHeight="1" spans="1:22">
      <c r="A93" s="12">
        <v>98</v>
      </c>
      <c r="B93" s="29"/>
      <c r="C93" s="35"/>
      <c r="D93" s="35"/>
      <c r="E93" s="35"/>
      <c r="F93" s="40" t="s">
        <v>61</v>
      </c>
      <c r="G93" s="41" t="s">
        <v>350</v>
      </c>
      <c r="H93" s="42"/>
      <c r="I93" s="51" t="s">
        <v>351</v>
      </c>
      <c r="J93" s="59" t="s">
        <v>87</v>
      </c>
      <c r="K93" s="44" t="str">
        <f>Jawaban!K93</f>
        <v>A</v>
      </c>
      <c r="L93" s="56">
        <f>Jawaban!L93</f>
        <v>0</v>
      </c>
      <c r="M93" s="51" t="s">
        <v>352</v>
      </c>
      <c r="N93" s="176" t="s">
        <v>65</v>
      </c>
      <c r="O93" s="47">
        <f t="shared" si="22"/>
        <v>1</v>
      </c>
      <c r="P93" s="48"/>
      <c r="Q93" s="196" t="s">
        <v>593</v>
      </c>
      <c r="R93" s="178" t="str">
        <f>Jawaban!R93</f>
        <v>b. Penanganan Benturan Kepentingan telah disosialisasikan/internalisasi.</v>
      </c>
      <c r="S93" s="51">
        <f>Jawaban!S93</f>
        <v>0</v>
      </c>
      <c r="T93" s="51">
        <f>Jawaban!T93</f>
        <v>0</v>
      </c>
      <c r="U93" s="51">
        <f>Jawaban!U93</f>
        <v>0</v>
      </c>
      <c r="V93" s="51">
        <f>Jawaban!V93</f>
        <v>0</v>
      </c>
    </row>
    <row r="94" ht="183.75" customHeight="1" spans="1:22">
      <c r="A94" s="12">
        <v>99</v>
      </c>
      <c r="B94" s="29"/>
      <c r="C94" s="35"/>
      <c r="D94" s="35"/>
      <c r="E94" s="35"/>
      <c r="F94" s="40" t="s">
        <v>78</v>
      </c>
      <c r="G94" s="41" t="s">
        <v>354</v>
      </c>
      <c r="H94" s="42"/>
      <c r="I94" s="51" t="s">
        <v>355</v>
      </c>
      <c r="J94" s="59" t="s">
        <v>87</v>
      </c>
      <c r="K94" s="44" t="str">
        <f>Jawaban!K94</f>
        <v>A</v>
      </c>
      <c r="L94" s="56">
        <f>Jawaban!L94</f>
        <v>0</v>
      </c>
      <c r="M94" s="51" t="s">
        <v>356</v>
      </c>
      <c r="N94" s="176" t="s">
        <v>65</v>
      </c>
      <c r="O94" s="47">
        <f t="shared" si="22"/>
        <v>1</v>
      </c>
      <c r="P94" s="79"/>
      <c r="Q94" s="177" t="s">
        <v>593</v>
      </c>
      <c r="R94" s="178" t="str">
        <f>Jawaban!R94</f>
        <v>c. Penanganan Benturan Kepentingan telah diimplementasikan. </v>
      </c>
      <c r="S94" s="51">
        <f>Jawaban!S94</f>
        <v>0</v>
      </c>
      <c r="T94" s="51">
        <f>Jawaban!T94</f>
        <v>0</v>
      </c>
      <c r="U94" s="51">
        <f>Jawaban!U94</f>
        <v>0</v>
      </c>
      <c r="V94" s="51">
        <f>Jawaban!V94</f>
        <v>0</v>
      </c>
    </row>
    <row r="95" ht="115.5" customHeight="1" spans="1:22">
      <c r="A95" s="12">
        <v>100</v>
      </c>
      <c r="B95" s="29"/>
      <c r="C95" s="35"/>
      <c r="D95" s="35"/>
      <c r="E95" s="35"/>
      <c r="F95" s="40" t="s">
        <v>112</v>
      </c>
      <c r="G95" s="41" t="s">
        <v>358</v>
      </c>
      <c r="H95" s="42"/>
      <c r="I95" s="51" t="s">
        <v>359</v>
      </c>
      <c r="J95" s="59" t="s">
        <v>64</v>
      </c>
      <c r="K95" s="44" t="str">
        <f>Jawaban!K95</f>
        <v>A</v>
      </c>
      <c r="L95" s="56">
        <f>Jawaban!L95</f>
        <v>0</v>
      </c>
      <c r="M95" s="51" t="s">
        <v>360</v>
      </c>
      <c r="N95" s="176" t="s">
        <v>65</v>
      </c>
      <c r="O95" s="47">
        <f t="shared" si="22"/>
        <v>1</v>
      </c>
      <c r="P95" s="79"/>
      <c r="Q95" s="177" t="s">
        <v>593</v>
      </c>
      <c r="R95" s="178" t="str">
        <f>Jawaban!R95</f>
        <v>d. Telah dilakukan evaluasi atas Penanganan Benturan Kepentingan.</v>
      </c>
      <c r="S95" s="51">
        <f>Jawaban!S95</f>
        <v>0</v>
      </c>
      <c r="T95" s="51">
        <f>Jawaban!T95</f>
        <v>0</v>
      </c>
      <c r="U95" s="51">
        <f>Jawaban!U95</f>
        <v>0</v>
      </c>
      <c r="V95" s="51">
        <f>Jawaban!V95</f>
        <v>0</v>
      </c>
    </row>
    <row r="96" ht="161.25" customHeight="1" spans="1:22">
      <c r="A96" s="12">
        <v>101</v>
      </c>
      <c r="B96" s="29"/>
      <c r="C96" s="35"/>
      <c r="D96" s="35"/>
      <c r="E96" s="35"/>
      <c r="F96" s="40" t="s">
        <v>201</v>
      </c>
      <c r="G96" s="41" t="s">
        <v>362</v>
      </c>
      <c r="H96" s="42"/>
      <c r="I96" s="51" t="s">
        <v>363</v>
      </c>
      <c r="J96" s="59" t="s">
        <v>64</v>
      </c>
      <c r="K96" s="44" t="str">
        <f>Jawaban!K96</f>
        <v>A</v>
      </c>
      <c r="L96" s="56">
        <f>Jawaban!L96</f>
        <v>0</v>
      </c>
      <c r="M96" s="51" t="s">
        <v>364</v>
      </c>
      <c r="N96" s="176" t="s">
        <v>65</v>
      </c>
      <c r="O96" s="47">
        <f t="shared" si="22"/>
        <v>1</v>
      </c>
      <c r="P96" s="79"/>
      <c r="Q96" s="177" t="s">
        <v>593</v>
      </c>
      <c r="R96" s="178" t="str">
        <f>Jawaban!R96</f>
        <v>e. Hasil evaluasi atas Penanganan Benturan Kepentingan telah ditindaklanjuti.</v>
      </c>
      <c r="S96" s="51">
        <f>Jawaban!S96</f>
        <v>0</v>
      </c>
      <c r="T96" s="51">
        <f>Jawaban!T96</f>
        <v>0</v>
      </c>
      <c r="U96" s="51">
        <f>Jawaban!U96</f>
        <v>0</v>
      </c>
      <c r="V96" s="51">
        <f>Jawaban!V96</f>
        <v>0</v>
      </c>
    </row>
    <row r="97" ht="15.75" customHeight="1" spans="1:22">
      <c r="A97" s="12">
        <v>102</v>
      </c>
      <c r="B97" s="26"/>
      <c r="C97" s="61"/>
      <c r="D97" s="28" t="s">
        <v>21</v>
      </c>
      <c r="E97" s="29" t="s">
        <v>22</v>
      </c>
      <c r="F97" s="29"/>
      <c r="G97" s="30"/>
      <c r="H97" s="31">
        <v>5</v>
      </c>
      <c r="I97" s="32"/>
      <c r="J97" s="31"/>
      <c r="K97" s="31">
        <f>Jawaban!K97</f>
        <v>0</v>
      </c>
      <c r="L97" s="54">
        <f>Jawaban!L97</f>
        <v>0</v>
      </c>
      <c r="M97" s="55"/>
      <c r="N97" s="31"/>
      <c r="O97" s="31">
        <f>SUM(O98,O103,O114,O118,O110)</f>
        <v>5</v>
      </c>
      <c r="P97" s="88">
        <f t="shared" ref="P97:P98" si="23">O97/H97</f>
        <v>1</v>
      </c>
      <c r="Q97" s="34"/>
      <c r="R97" s="51">
        <f>Jawaban!R97</f>
        <v>0</v>
      </c>
      <c r="S97" s="51">
        <f>Jawaban!S97</f>
        <v>0</v>
      </c>
      <c r="T97" s="51">
        <f>Jawaban!T97</f>
        <v>0</v>
      </c>
      <c r="U97" s="51">
        <f>Jawaban!U97</f>
        <v>0</v>
      </c>
      <c r="V97" s="51">
        <f>Jawaban!V97</f>
        <v>0</v>
      </c>
    </row>
    <row r="98" ht="15.75" customHeight="1" spans="1:22">
      <c r="A98" s="12">
        <v>103</v>
      </c>
      <c r="B98" s="30"/>
      <c r="C98" s="35"/>
      <c r="D98" s="35"/>
      <c r="E98" s="35" t="s">
        <v>52</v>
      </c>
      <c r="F98" s="29" t="s">
        <v>366</v>
      </c>
      <c r="G98" s="30"/>
      <c r="H98" s="36">
        <v>1</v>
      </c>
      <c r="I98" s="37"/>
      <c r="J98" s="36"/>
      <c r="K98" s="36">
        <f>Jawaban!K98</f>
        <v>0</v>
      </c>
      <c r="L98" s="54">
        <f>Jawaban!L98</f>
        <v>0</v>
      </c>
      <c r="M98" s="55"/>
      <c r="N98" s="36"/>
      <c r="O98" s="36">
        <f>AVERAGE(O99:O102)*H98</f>
        <v>1</v>
      </c>
      <c r="P98" s="83">
        <f t="shared" si="23"/>
        <v>1</v>
      </c>
      <c r="Q98" s="39"/>
      <c r="R98" s="51">
        <f>Jawaban!R98</f>
        <v>0</v>
      </c>
      <c r="S98" s="51">
        <f>Jawaban!S98</f>
        <v>0</v>
      </c>
      <c r="T98" s="51">
        <f>Jawaban!T98</f>
        <v>0</v>
      </c>
      <c r="U98" s="51">
        <f>Jawaban!U98</f>
        <v>0</v>
      </c>
      <c r="V98" s="51">
        <f>Jawaban!V98</f>
        <v>0</v>
      </c>
    </row>
    <row r="99" ht="293.25" customHeight="1" spans="1:22">
      <c r="A99" s="12">
        <v>104</v>
      </c>
      <c r="B99" s="29"/>
      <c r="C99" s="35"/>
      <c r="D99" s="35"/>
      <c r="E99" s="35"/>
      <c r="F99" s="40" t="s">
        <v>54</v>
      </c>
      <c r="G99" s="41" t="s">
        <v>367</v>
      </c>
      <c r="H99" s="42"/>
      <c r="I99" s="51" t="s">
        <v>368</v>
      </c>
      <c r="J99" s="59" t="s">
        <v>124</v>
      </c>
      <c r="K99" s="44" t="str">
        <f>Jawaban!K99</f>
        <v>A</v>
      </c>
      <c r="L99" s="56">
        <f>Jawaban!L99</f>
        <v>0</v>
      </c>
      <c r="M99" s="51" t="s">
        <v>369</v>
      </c>
      <c r="N99" s="176" t="s">
        <v>65</v>
      </c>
      <c r="O99" s="47">
        <f t="shared" ref="O99:O102" si="24">IF(J99="Ya/Tidak",IF(N99="Ya",1,IF(N99="Tidak",0,"Blm Diisi")),IF(J99="A/B/C",IF(N99="A",1,IF(N99="B",0.5,IF(N99="C",0,"Blm Diisi"))),IF(J99="A/B/C/D",IF(N99="A",1,IF(N99="B",0.67,IF(N99="C",0.33,IF(N99="D",0,"Blm Diisi")))),IF(J99="A/B/C/D/E",IF(N99="A",1,IF(N99="B",0.75,IF(N99="C",0.5,IF(N99="D",0.25,IF(N99="E",0,"Blm Diisi"))))),IF(J99="%",IF(N99="","Blm Diisi",N99),IF(J99="Jumlah",IF(N99="","Blm Diisi",""),IF(J99="Rupiah",IF(N99="","Blm Diisi",""),IF(J99="","","-"))))))))</f>
        <v>1</v>
      </c>
      <c r="P99" s="79"/>
      <c r="Q99" s="177" t="s">
        <v>593</v>
      </c>
      <c r="R99" s="178" t="str">
        <f>Jawaban!R99</f>
        <v>a. Terdapat kebijakan standar pelayanan.</v>
      </c>
      <c r="S99" s="51">
        <f>Jawaban!S99</f>
        <v>0</v>
      </c>
      <c r="T99" s="51">
        <f>Jawaban!T99</f>
        <v>0</v>
      </c>
      <c r="U99" s="51">
        <f>Jawaban!U99</f>
        <v>0</v>
      </c>
      <c r="V99" s="51">
        <f>Jawaban!V99</f>
        <v>0</v>
      </c>
    </row>
    <row r="100" ht="220.5" customHeight="1" spans="1:22">
      <c r="A100" s="12">
        <v>105</v>
      </c>
      <c r="B100" s="29"/>
      <c r="C100" s="35"/>
      <c r="D100" s="35"/>
      <c r="E100" s="35"/>
      <c r="F100" s="40" t="s">
        <v>61</v>
      </c>
      <c r="G100" s="41" t="s">
        <v>371</v>
      </c>
      <c r="H100" s="42"/>
      <c r="I100" s="51" t="s">
        <v>372</v>
      </c>
      <c r="J100" s="59" t="s">
        <v>87</v>
      </c>
      <c r="K100" s="44" t="str">
        <f>Jawaban!K100</f>
        <v>A</v>
      </c>
      <c r="L100" s="52">
        <f>Jawaban!L100</f>
        <v>0</v>
      </c>
      <c r="M100" s="51" t="s">
        <v>373</v>
      </c>
      <c r="N100" s="176" t="s">
        <v>65</v>
      </c>
      <c r="O100" s="47">
        <f t="shared" si="24"/>
        <v>1</v>
      </c>
      <c r="P100" s="48"/>
      <c r="Q100" s="188" t="s">
        <v>593</v>
      </c>
      <c r="R100" s="178" t="str">
        <f>Jawaban!R100</f>
        <v>b. Standar pelayanan telah dimaklumatkan. </v>
      </c>
      <c r="S100" s="51">
        <f>Jawaban!S100</f>
        <v>0</v>
      </c>
      <c r="T100" s="51">
        <f>Jawaban!T100</f>
        <v>0</v>
      </c>
      <c r="U100" s="51">
        <f>Jawaban!U100</f>
        <v>0</v>
      </c>
      <c r="V100" s="51">
        <f>Jawaban!V100</f>
        <v>0</v>
      </c>
    </row>
    <row r="101" ht="308.25" customHeight="1" spans="1:22">
      <c r="A101" s="12">
        <v>106</v>
      </c>
      <c r="B101" s="29"/>
      <c r="C101" s="35"/>
      <c r="D101" s="35"/>
      <c r="E101" s="35"/>
      <c r="F101" s="40" t="s">
        <v>78</v>
      </c>
      <c r="G101" s="41" t="s">
        <v>375</v>
      </c>
      <c r="H101" s="42"/>
      <c r="I101" s="51" t="s">
        <v>376</v>
      </c>
      <c r="J101" s="59" t="s">
        <v>87</v>
      </c>
      <c r="K101" s="44" t="str">
        <f>Jawaban!K101</f>
        <v>A</v>
      </c>
      <c r="L101" s="56">
        <f>Jawaban!L101</f>
        <v>0</v>
      </c>
      <c r="M101" s="51" t="s">
        <v>377</v>
      </c>
      <c r="N101" s="176" t="s">
        <v>65</v>
      </c>
      <c r="O101" s="47">
        <f t="shared" si="24"/>
        <v>1</v>
      </c>
      <c r="P101" s="48"/>
      <c r="Q101" s="197" t="s">
        <v>593</v>
      </c>
      <c r="R101" s="178" t="str">
        <f>Jawaban!R101</f>
        <v>c. Dilakukan reviu dan perbaikan atas standar pelayanan.</v>
      </c>
      <c r="S101" s="51">
        <f>Jawaban!S101</f>
        <v>0</v>
      </c>
      <c r="T101" s="51">
        <f>Jawaban!T101</f>
        <v>0</v>
      </c>
      <c r="U101" s="51">
        <f>Jawaban!U101</f>
        <v>0</v>
      </c>
      <c r="V101" s="51">
        <f>Jawaban!V101</f>
        <v>0</v>
      </c>
    </row>
    <row r="102" ht="54" customHeight="1" spans="1:22">
      <c r="B102" s="29"/>
      <c r="C102" s="35"/>
      <c r="D102" s="35"/>
      <c r="E102" s="35"/>
      <c r="F102" s="40" t="s">
        <v>112</v>
      </c>
      <c r="G102" s="41" t="s">
        <v>379</v>
      </c>
      <c r="H102" s="42"/>
      <c r="I102" s="51" t="s">
        <v>380</v>
      </c>
      <c r="J102" s="59" t="s">
        <v>57</v>
      </c>
      <c r="K102" s="44" t="str">
        <f>Jawaban!K102</f>
        <v>Ya</v>
      </c>
      <c r="L102" s="56">
        <f>Jawaban!L102</f>
        <v>0</v>
      </c>
      <c r="M102" s="51" t="s">
        <v>381</v>
      </c>
      <c r="N102" s="176" t="s">
        <v>58</v>
      </c>
      <c r="O102" s="47">
        <f t="shared" si="24"/>
        <v>1</v>
      </c>
      <c r="P102" s="48"/>
      <c r="Q102" s="198" t="s">
        <v>593</v>
      </c>
      <c r="R102" s="178" t="str">
        <f>Jawaban!R102</f>
        <v>d. Telah melakukan publikasi atas standar pelayanan dan maklumat pelayanan.</v>
      </c>
      <c r="S102" s="51">
        <f>Jawaban!S102</f>
        <v>0</v>
      </c>
      <c r="T102" s="51">
        <f>Jawaban!T102</f>
        <v>0</v>
      </c>
      <c r="U102" s="51">
        <f>Jawaban!U102</f>
        <v>0</v>
      </c>
      <c r="V102" s="51">
        <f>Jawaban!V102</f>
        <v>0</v>
      </c>
    </row>
    <row r="103" ht="15.75" customHeight="1" spans="1:22">
      <c r="A103" s="12">
        <v>108</v>
      </c>
      <c r="B103" s="30"/>
      <c r="C103" s="35"/>
      <c r="D103" s="35"/>
      <c r="E103" s="35" t="s">
        <v>68</v>
      </c>
      <c r="F103" s="29" t="s">
        <v>383</v>
      </c>
      <c r="G103" s="30"/>
      <c r="H103" s="36">
        <v>1</v>
      </c>
      <c r="I103" s="37"/>
      <c r="J103" s="36"/>
      <c r="K103" s="36">
        <f>Jawaban!K103</f>
        <v>0</v>
      </c>
      <c r="L103" s="54">
        <f>Jawaban!L103</f>
        <v>0</v>
      </c>
      <c r="M103" s="55"/>
      <c r="N103" s="36"/>
      <c r="O103" s="36">
        <f>AVERAGE(O104:O109)*H103</f>
        <v>1</v>
      </c>
      <c r="P103" s="38">
        <f>O103/H103</f>
        <v>1</v>
      </c>
      <c r="Q103" s="78"/>
      <c r="R103" s="51">
        <f>Jawaban!R103</f>
        <v>0</v>
      </c>
      <c r="S103" s="51">
        <f>Jawaban!S103</f>
        <v>0</v>
      </c>
      <c r="T103" s="51">
        <f>Jawaban!T103</f>
        <v>0</v>
      </c>
      <c r="U103" s="51">
        <f>Jawaban!U103</f>
        <v>0</v>
      </c>
      <c r="V103" s="51">
        <f>Jawaban!V103</f>
        <v>0</v>
      </c>
    </row>
    <row r="104" ht="15.75" customHeight="1" spans="1:22">
      <c r="A104" s="12">
        <v>109</v>
      </c>
      <c r="B104" s="29"/>
      <c r="C104" s="35"/>
      <c r="D104" s="35"/>
      <c r="E104" s="35"/>
      <c r="F104" s="40" t="s">
        <v>54</v>
      </c>
      <c r="G104" s="41" t="s">
        <v>384</v>
      </c>
      <c r="H104" s="42"/>
      <c r="I104" s="51" t="s">
        <v>385</v>
      </c>
      <c r="J104" s="59" t="s">
        <v>124</v>
      </c>
      <c r="K104" s="44" t="str">
        <f>Jawaban!K104</f>
        <v>A</v>
      </c>
      <c r="L104" s="56">
        <f>Jawaban!L104</f>
        <v>0</v>
      </c>
      <c r="M104" s="51" t="s">
        <v>386</v>
      </c>
      <c r="N104" s="176" t="s">
        <v>65</v>
      </c>
      <c r="O104" s="47">
        <f t="shared" ref="O104:O109" si="25">IF(J104="Ya/Tidak",IF(N104="Ya",1,IF(N104="Tidak",0,"Blm Diisi")),IF(J104="A/B/C",IF(N104="A",1,IF(N104="B",0.5,IF(N104="C",0,"Blm Diisi"))),IF(J104="A/B/C/D",IF(N104="A",1,IF(N104="B",0.67,IF(N104="C",0.33,IF(N104="D",0,"Blm Diisi")))),IF(J104="A/B/C/D/E",IF(N104="A",1,IF(N104="B",0.75,IF(N104="C",0.5,IF(N104="D",0.25,IF(N104="E",0,"Blm Diisi"))))),IF(J104="%",IF(N104="","Blm Diisi",N104),IF(J104="Jumlah",IF(N104="","Blm Diisi",""),IF(J104="Rupiah",IF(N104="","Blm Diisi",""),IF(J104="","","-"))))))))</f>
        <v>1</v>
      </c>
      <c r="P104" s="79"/>
      <c r="Q104" s="177" t="s">
        <v>593</v>
      </c>
      <c r="R104" s="178" t="str">
        <f>Jawaban!R104</f>
        <v>a. Telah dilakukan berbagai upaya peningkatan kemampuan dan/atau kompetensi tentang penerapan budaya pelayanan prima. </v>
      </c>
      <c r="S104" s="51">
        <f>Jawaban!S104</f>
        <v>0</v>
      </c>
      <c r="T104" s="51">
        <f>Jawaban!T104</f>
        <v>0</v>
      </c>
      <c r="U104" s="51">
        <f>Jawaban!U104</f>
        <v>0</v>
      </c>
      <c r="V104" s="51">
        <f>Jawaban!V104</f>
        <v>0</v>
      </c>
    </row>
    <row r="105" ht="283.5" customHeight="1" spans="1:22">
      <c r="A105" s="12">
        <v>110</v>
      </c>
      <c r="B105" s="29"/>
      <c r="C105" s="35"/>
      <c r="D105" s="35"/>
      <c r="E105" s="35"/>
      <c r="F105" s="40" t="s">
        <v>61</v>
      </c>
      <c r="G105" s="41" t="s">
        <v>388</v>
      </c>
      <c r="H105" s="42"/>
      <c r="I105" s="51" t="s">
        <v>389</v>
      </c>
      <c r="J105" s="59" t="s">
        <v>87</v>
      </c>
      <c r="K105" s="44" t="str">
        <f>Jawaban!K105</f>
        <v>A</v>
      </c>
      <c r="L105" s="56">
        <f>Jawaban!L105</f>
        <v>0</v>
      </c>
      <c r="M105" s="51" t="s">
        <v>390</v>
      </c>
      <c r="N105" s="176" t="s">
        <v>65</v>
      </c>
      <c r="O105" s="47">
        <f t="shared" si="25"/>
        <v>1</v>
      </c>
      <c r="P105" s="79"/>
      <c r="Q105" s="180" t="s">
        <v>593</v>
      </c>
      <c r="R105" s="178" t="str">
        <f>Jawaban!R105</f>
        <v>b. Informasi tentang pelayanan mudah diakses melalui berbagai media.</v>
      </c>
      <c r="S105" s="51">
        <f>Jawaban!S105</f>
        <v>0</v>
      </c>
      <c r="T105" s="51">
        <f>Jawaban!T105</f>
        <v>0</v>
      </c>
      <c r="U105" s="51">
        <f>Jawaban!U105</f>
        <v>0</v>
      </c>
      <c r="V105" s="51">
        <f>Jawaban!V105</f>
        <v>0</v>
      </c>
    </row>
    <row r="106" ht="291" customHeight="1" spans="1:22">
      <c r="A106" s="12">
        <v>111</v>
      </c>
      <c r="B106" s="29"/>
      <c r="C106" s="35"/>
      <c r="D106" s="35"/>
      <c r="E106" s="35"/>
      <c r="F106" s="40" t="s">
        <v>78</v>
      </c>
      <c r="G106" s="41" t="s">
        <v>392</v>
      </c>
      <c r="H106" s="42"/>
      <c r="I106" s="51" t="s">
        <v>393</v>
      </c>
      <c r="J106" s="59" t="s">
        <v>87</v>
      </c>
      <c r="K106" s="44" t="str">
        <f>Jawaban!K106</f>
        <v>A</v>
      </c>
      <c r="L106" s="56">
        <f>Jawaban!L106</f>
        <v>0</v>
      </c>
      <c r="M106" s="51" t="s">
        <v>394</v>
      </c>
      <c r="N106" s="176" t="s">
        <v>65</v>
      </c>
      <c r="O106" s="47">
        <f t="shared" si="25"/>
        <v>1</v>
      </c>
      <c r="P106" s="79"/>
      <c r="Q106" s="180" t="s">
        <v>593</v>
      </c>
      <c r="R106" s="178" t="str">
        <f>Jawaban!R106</f>
        <v>c. Telah terdapat sistem pemberian penghargaan dan sanksi bagi petugas pemberi pelayanan.</v>
      </c>
      <c r="S106" s="51">
        <f>Jawaban!S106</f>
        <v>0</v>
      </c>
      <c r="T106" s="51">
        <f>Jawaban!T106</f>
        <v>0</v>
      </c>
      <c r="U106" s="51">
        <f>Jawaban!U106</f>
        <v>0</v>
      </c>
      <c r="V106" s="51">
        <f>Jawaban!V106</f>
        <v>0</v>
      </c>
    </row>
    <row r="107" ht="15.75" customHeight="1" spans="1:22">
      <c r="B107" s="29"/>
      <c r="C107" s="35"/>
      <c r="D107" s="35"/>
      <c r="E107" s="35"/>
      <c r="F107" s="40" t="s">
        <v>112</v>
      </c>
      <c r="G107" s="41" t="s">
        <v>396</v>
      </c>
      <c r="H107" s="42"/>
      <c r="I107" s="51" t="s">
        <v>397</v>
      </c>
      <c r="J107" s="59" t="s">
        <v>87</v>
      </c>
      <c r="K107" s="44" t="str">
        <f>Jawaban!K107</f>
        <v>A</v>
      </c>
      <c r="L107" s="56">
        <f>Jawaban!L107</f>
        <v>0</v>
      </c>
      <c r="M107" s="51" t="s">
        <v>398</v>
      </c>
      <c r="N107" s="176" t="s">
        <v>65</v>
      </c>
      <c r="O107" s="47">
        <f t="shared" si="25"/>
        <v>1</v>
      </c>
      <c r="P107" s="79"/>
      <c r="Q107" s="180" t="s">
        <v>593</v>
      </c>
      <c r="R107" s="178" t="str">
        <f>Jawaban!R107</f>
        <v>d. Telah terdapat sistem pemberian kompensasi kepada penerima layanan bila layanan tidak sesuai standar.</v>
      </c>
      <c r="S107" s="51">
        <f>Jawaban!S107</f>
        <v>0</v>
      </c>
      <c r="T107" s="51">
        <f>Jawaban!T107</f>
        <v>0</v>
      </c>
      <c r="U107" s="51">
        <f>Jawaban!U107</f>
        <v>0</v>
      </c>
      <c r="V107" s="51">
        <f>Jawaban!V107</f>
        <v>0</v>
      </c>
    </row>
    <row r="108" ht="150.75" customHeight="1" spans="1:22">
      <c r="A108" s="12">
        <v>112</v>
      </c>
      <c r="B108" s="29"/>
      <c r="C108" s="35"/>
      <c r="D108" s="35"/>
      <c r="E108" s="35"/>
      <c r="F108" s="40" t="s">
        <v>201</v>
      </c>
      <c r="G108" s="41" t="s">
        <v>400</v>
      </c>
      <c r="H108" s="42"/>
      <c r="I108" s="51" t="s">
        <v>401</v>
      </c>
      <c r="J108" s="59" t="s">
        <v>87</v>
      </c>
      <c r="K108" s="44" t="str">
        <f>Jawaban!K108</f>
        <v>A</v>
      </c>
      <c r="L108" s="51">
        <f>Jawaban!L108</f>
        <v>0</v>
      </c>
      <c r="M108" s="51" t="s">
        <v>402</v>
      </c>
      <c r="N108" s="176" t="s">
        <v>65</v>
      </c>
      <c r="O108" s="47">
        <f t="shared" si="25"/>
        <v>1</v>
      </c>
      <c r="P108" s="79"/>
      <c r="Q108" s="180" t="s">
        <v>593</v>
      </c>
      <c r="R108" s="178" t="str">
        <f>Jawaban!R108</f>
        <v>e. Terdapat sarana layanan terpadu/terintegrasi.</v>
      </c>
      <c r="S108" s="51">
        <f>Jawaban!S108</f>
        <v>0</v>
      </c>
      <c r="T108" s="51">
        <f>Jawaban!T108</f>
        <v>0</v>
      </c>
      <c r="U108" s="51">
        <f>Jawaban!U108</f>
        <v>0</v>
      </c>
      <c r="V108" s="51">
        <f>Jawaban!V108</f>
        <v>0</v>
      </c>
    </row>
    <row r="109" ht="379.5" customHeight="1" spans="1:22">
      <c r="A109" s="12">
        <v>113</v>
      </c>
      <c r="B109" s="29"/>
      <c r="C109" s="35"/>
      <c r="D109" s="35"/>
      <c r="E109" s="35"/>
      <c r="F109" s="40" t="s">
        <v>206</v>
      </c>
      <c r="G109" s="41" t="s">
        <v>404</v>
      </c>
      <c r="H109" s="42"/>
      <c r="I109" s="51" t="s">
        <v>405</v>
      </c>
      <c r="J109" s="59" t="s">
        <v>124</v>
      </c>
      <c r="K109" s="44" t="str">
        <f>Jawaban!K109</f>
        <v>A</v>
      </c>
      <c r="L109" s="56">
        <f>Jawaban!L109</f>
        <v>0</v>
      </c>
      <c r="M109" s="51" t="s">
        <v>406</v>
      </c>
      <c r="N109" s="176" t="s">
        <v>65</v>
      </c>
      <c r="O109" s="47">
        <f t="shared" si="25"/>
        <v>1</v>
      </c>
      <c r="P109" s="79"/>
      <c r="Q109" s="177" t="s">
        <v>593</v>
      </c>
      <c r="R109" s="178" t="str">
        <f>Jawaban!R109</f>
        <v>f. Terdapat inovasi pelayanan.</v>
      </c>
      <c r="S109" s="51">
        <f>Jawaban!S109</f>
        <v>0</v>
      </c>
      <c r="T109" s="51">
        <f>Jawaban!T109</f>
        <v>0</v>
      </c>
      <c r="U109" s="51">
        <f>Jawaban!U109</f>
        <v>0</v>
      </c>
      <c r="V109" s="51">
        <f>Jawaban!V109</f>
        <v>0</v>
      </c>
    </row>
    <row r="110" ht="15.75" customHeight="1" spans="1:22">
      <c r="A110" s="12">
        <v>114</v>
      </c>
      <c r="B110" s="30"/>
      <c r="C110" s="35"/>
      <c r="D110" s="35"/>
      <c r="E110" s="35" t="s">
        <v>83</v>
      </c>
      <c r="F110" s="29" t="s">
        <v>408</v>
      </c>
      <c r="G110" s="30"/>
      <c r="H110" s="36">
        <v>1</v>
      </c>
      <c r="I110" s="37"/>
      <c r="J110" s="36"/>
      <c r="K110" s="36">
        <f>Jawaban!K110</f>
        <v>0</v>
      </c>
      <c r="L110" s="54">
        <f>Jawaban!L110</f>
        <v>0</v>
      </c>
      <c r="M110" s="55"/>
      <c r="N110" s="36"/>
      <c r="O110" s="36">
        <f>AVERAGE(O111:O113)*H110</f>
        <v>1</v>
      </c>
      <c r="P110" s="38">
        <f>O110/H110</f>
        <v>1</v>
      </c>
      <c r="Q110" s="91"/>
      <c r="R110" s="51">
        <f>Jawaban!R110</f>
        <v>0</v>
      </c>
      <c r="S110" s="51">
        <f>Jawaban!S110</f>
        <v>0</v>
      </c>
      <c r="T110" s="51">
        <f>Jawaban!T110</f>
        <v>0</v>
      </c>
      <c r="U110" s="51">
        <f>Jawaban!U110</f>
        <v>0</v>
      </c>
      <c r="V110" s="51">
        <f>Jawaban!V110</f>
        <v>0</v>
      </c>
    </row>
    <row r="111" ht="330.75" customHeight="1" spans="1:22">
      <c r="A111" s="12">
        <v>115</v>
      </c>
      <c r="B111" s="29"/>
      <c r="C111" s="35"/>
      <c r="D111" s="35"/>
      <c r="E111" s="35"/>
      <c r="F111" s="40" t="s">
        <v>54</v>
      </c>
      <c r="G111" s="41" t="s">
        <v>409</v>
      </c>
      <c r="H111" s="42"/>
      <c r="I111" s="51" t="s">
        <v>410</v>
      </c>
      <c r="J111" s="59" t="s">
        <v>124</v>
      </c>
      <c r="K111" s="44" t="str">
        <f>Jawaban!K111</f>
        <v>A</v>
      </c>
      <c r="L111" s="52">
        <f>Jawaban!L111</f>
        <v>0</v>
      </c>
      <c r="M111" s="51" t="s">
        <v>411</v>
      </c>
      <c r="N111" s="176" t="s">
        <v>65</v>
      </c>
      <c r="O111" s="47">
        <f t="shared" ref="O111:O113" si="26">IF(J111="Ya/Tidak",IF(N111="Ya",1,IF(N111="Tidak",0,"Blm Diisi")),IF(J111="A/B/C",IF(N111="A",1,IF(N111="B",0.5,IF(N111="C",0,"Blm Diisi"))),IF(J111="A/B/C/D",IF(N111="A",1,IF(N111="B",0.67,IF(N111="C",0.33,IF(N111="D",0,"Blm Diisi")))),IF(J111="A/B/C/D/E",IF(N111="A",1,IF(N111="B",0.75,IF(N111="C",0.5,IF(N111="D",0.25,IF(N111="E",0,"Blm Diisi"))))),IF(J111="%",IF(N111="","Blm Diisi",N111),IF(J111="Jumlah",IF(N111="","Blm Diisi",""),IF(J111="Rupiah",IF(N111="","Blm Diisi",""),IF(J111="","","-"))))))))</f>
        <v>1</v>
      </c>
      <c r="P111" s="48"/>
      <c r="Q111" s="199" t="s">
        <v>593</v>
      </c>
      <c r="R111" s="178" t="str">
        <f>Jawaban!R111</f>
        <v>a. Terdapat media pengaduan dan konsultasi pelayanan yang terintegrasi dengan SP4N-Lapor!. </v>
      </c>
      <c r="S111" s="51">
        <f>Jawaban!S111</f>
        <v>0</v>
      </c>
      <c r="T111" s="51">
        <f>Jawaban!T111</f>
        <v>0</v>
      </c>
      <c r="U111" s="51">
        <f>Jawaban!U111</f>
        <v>0</v>
      </c>
      <c r="V111" s="51">
        <f>Jawaban!V111</f>
        <v>0</v>
      </c>
    </row>
    <row r="112" ht="227.25" customHeight="1" spans="1:22">
      <c r="A112" s="12">
        <v>116</v>
      </c>
      <c r="B112" s="92"/>
      <c r="C112" s="35"/>
      <c r="D112" s="35"/>
      <c r="E112" s="35"/>
      <c r="F112" s="40" t="s">
        <v>61</v>
      </c>
      <c r="G112" s="41" t="s">
        <v>413</v>
      </c>
      <c r="H112" s="42"/>
      <c r="I112" s="51" t="s">
        <v>414</v>
      </c>
      <c r="J112" s="59" t="s">
        <v>64</v>
      </c>
      <c r="K112" s="44" t="str">
        <f>Jawaban!K112</f>
        <v>A</v>
      </c>
      <c r="L112" s="51">
        <f>Jawaban!L112</f>
        <v>0</v>
      </c>
      <c r="M112" s="51" t="s">
        <v>415</v>
      </c>
      <c r="N112" s="176" t="s">
        <v>65</v>
      </c>
      <c r="O112" s="47">
        <f t="shared" si="26"/>
        <v>1</v>
      </c>
      <c r="P112" s="48"/>
      <c r="Q112" s="188" t="s">
        <v>593</v>
      </c>
      <c r="R112" s="178" t="str">
        <f>Jawaban!R112</f>
        <v>b. Terdapat unit yang mengelola pengaduan dan konsultasi pelayanan.</v>
      </c>
      <c r="S112" s="51">
        <f>Jawaban!S112</f>
        <v>0</v>
      </c>
      <c r="T112" s="51">
        <f>Jawaban!T112</f>
        <v>0</v>
      </c>
      <c r="U112" s="51">
        <f>Jawaban!U112</f>
        <v>0</v>
      </c>
      <c r="V112" s="51">
        <f>Jawaban!V112</f>
        <v>0</v>
      </c>
    </row>
    <row r="113" ht="113.25" customHeight="1" spans="1:22">
      <c r="A113" s="12">
        <v>117</v>
      </c>
      <c r="B113" s="29"/>
      <c r="C113" s="35"/>
      <c r="D113" s="35"/>
      <c r="E113" s="35"/>
      <c r="F113" s="40" t="s">
        <v>78</v>
      </c>
      <c r="G113" s="41" t="s">
        <v>417</v>
      </c>
      <c r="H113" s="42"/>
      <c r="I113" s="51" t="s">
        <v>418</v>
      </c>
      <c r="J113" s="59" t="s">
        <v>64</v>
      </c>
      <c r="K113" s="44" t="str">
        <f>Jawaban!K113</f>
        <v>A</v>
      </c>
      <c r="L113" s="51">
        <f>Jawaban!L113</f>
        <v>0</v>
      </c>
      <c r="M113" s="51" t="s">
        <v>419</v>
      </c>
      <c r="N113" s="176" t="s">
        <v>65</v>
      </c>
      <c r="O113" s="47">
        <f t="shared" si="26"/>
        <v>1</v>
      </c>
      <c r="P113" s="48"/>
      <c r="Q113" s="188" t="s">
        <v>593</v>
      </c>
      <c r="R113" s="178" t="str">
        <f>Jawaban!R113</f>
        <v>c. Telah dilakukan evaluasi atas penanganan keluhan/masukan dan konsultasi.</v>
      </c>
      <c r="S113" s="51">
        <f>Jawaban!S113</f>
        <v>0</v>
      </c>
      <c r="T113" s="51">
        <f>Jawaban!T113</f>
        <v>0</v>
      </c>
      <c r="U113" s="51">
        <f>Jawaban!U113</f>
        <v>0</v>
      </c>
      <c r="V113" s="51">
        <f>Jawaban!V113</f>
        <v>0</v>
      </c>
    </row>
    <row r="114" ht="15.75" customHeight="1" spans="1:22">
      <c r="A114" s="12">
        <v>114</v>
      </c>
      <c r="B114" s="30"/>
      <c r="C114" s="35"/>
      <c r="D114" s="35"/>
      <c r="E114" s="35" t="s">
        <v>98</v>
      </c>
      <c r="F114" s="29" t="s">
        <v>421</v>
      </c>
      <c r="G114" s="30"/>
      <c r="H114" s="36">
        <v>1</v>
      </c>
      <c r="I114" s="37"/>
      <c r="J114" s="36"/>
      <c r="K114" s="36">
        <f>Jawaban!K114</f>
        <v>0</v>
      </c>
      <c r="L114" s="54">
        <f>Jawaban!L114</f>
        <v>0</v>
      </c>
      <c r="M114" s="55"/>
      <c r="N114" s="36"/>
      <c r="O114" s="36">
        <f>AVERAGE(O115:O117)*H114</f>
        <v>1</v>
      </c>
      <c r="P114" s="38">
        <f>O114/H114</f>
        <v>1</v>
      </c>
      <c r="Q114" s="78"/>
      <c r="R114" s="51">
        <f>Jawaban!R114</f>
        <v>0</v>
      </c>
      <c r="S114" s="51">
        <f>Jawaban!S114</f>
        <v>0</v>
      </c>
      <c r="T114" s="51">
        <f>Jawaban!T114</f>
        <v>0</v>
      </c>
      <c r="U114" s="51">
        <f>Jawaban!U114</f>
        <v>0</v>
      </c>
      <c r="V114" s="51">
        <f>Jawaban!V114</f>
        <v>0</v>
      </c>
    </row>
    <row r="115" ht="228" customHeight="1" spans="1:22">
      <c r="A115" s="12">
        <v>115</v>
      </c>
      <c r="B115" s="29"/>
      <c r="C115" s="35"/>
      <c r="D115" s="35"/>
      <c r="E115" s="35"/>
      <c r="F115" s="40" t="s">
        <v>54</v>
      </c>
      <c r="G115" s="41" t="s">
        <v>422</v>
      </c>
      <c r="H115" s="42"/>
      <c r="I115" s="51" t="s">
        <v>423</v>
      </c>
      <c r="J115" s="59" t="s">
        <v>124</v>
      </c>
      <c r="K115" s="44" t="str">
        <f>Jawaban!K115</f>
        <v>A</v>
      </c>
      <c r="L115" s="56">
        <f>Jawaban!L115</f>
        <v>0</v>
      </c>
      <c r="M115" s="51" t="s">
        <v>424</v>
      </c>
      <c r="N115" s="176" t="s">
        <v>65</v>
      </c>
      <c r="O115" s="47">
        <f t="shared" ref="O115:O117" si="27">IF(J115="Ya/Tidak",IF(N115="Ya",1,IF(N115="Tidak",0,"Blm Diisi")),IF(J115="A/B/C",IF(N115="A",1,IF(N115="B",0.5,IF(N115="C",0,"Blm Diisi"))),IF(J115="A/B/C/D",IF(N115="A",1,IF(N115="B",0.67,IF(N115="C",0.33,IF(N115="D",0,"Blm Diisi")))),IF(J115="A/B/C/D/E",IF(N115="A",1,IF(N115="B",0.75,IF(N115="C",0.5,IF(N115="D",0.25,IF(N115="E",0,"Blm Diisi"))))),IF(J115="%",IF(N115="","Blm Diisi",N115),IF(J115="Jumlah",IF(N115="","Blm Diisi",""),IF(J115="Rupiah",IF(N115="","Blm Diisi",""),IF(J115="","","-"))))))))</f>
        <v>1</v>
      </c>
      <c r="P115" s="79"/>
      <c r="Q115" s="177" t="s">
        <v>593</v>
      </c>
      <c r="R115" s="178" t="str">
        <f>Jawaban!R115</f>
        <v>a. Telah dilakukan survey kepuasan masyarakat terhadap pelayanan.</v>
      </c>
      <c r="S115" s="51">
        <f>Jawaban!S115</f>
        <v>0</v>
      </c>
      <c r="T115" s="51">
        <f>Jawaban!T115</f>
        <v>0</v>
      </c>
      <c r="U115" s="51">
        <f>Jawaban!U115</f>
        <v>0</v>
      </c>
      <c r="V115" s="51">
        <f>Jawaban!V115</f>
        <v>0</v>
      </c>
    </row>
    <row r="116" ht="15.75" customHeight="1" spans="1:22">
      <c r="A116" s="12">
        <v>116</v>
      </c>
      <c r="B116" s="29"/>
      <c r="C116" s="35"/>
      <c r="D116" s="35"/>
      <c r="E116" s="35"/>
      <c r="F116" s="40" t="s">
        <v>61</v>
      </c>
      <c r="G116" s="41" t="s">
        <v>426</v>
      </c>
      <c r="H116" s="42"/>
      <c r="I116" s="51" t="s">
        <v>427</v>
      </c>
      <c r="J116" s="59" t="s">
        <v>64</v>
      </c>
      <c r="K116" s="44" t="str">
        <f>Jawaban!K116</f>
        <v>A</v>
      </c>
      <c r="L116" s="56">
        <f>Jawaban!L116</f>
        <v>0</v>
      </c>
      <c r="M116" s="51" t="s">
        <v>428</v>
      </c>
      <c r="N116" s="176" t="s">
        <v>65</v>
      </c>
      <c r="O116" s="47">
        <f t="shared" si="27"/>
        <v>1</v>
      </c>
      <c r="P116" s="79"/>
      <c r="Q116" s="180" t="s">
        <v>593</v>
      </c>
      <c r="R116" s="178" t="str">
        <f>Jawaban!R116</f>
        <v>b. Hasil survei kepuasan masyarakat dapat diakses secara terbuka.</v>
      </c>
      <c r="S116" s="51">
        <f>Jawaban!S116</f>
        <v>0</v>
      </c>
      <c r="T116" s="51">
        <f>Jawaban!T116</f>
        <v>0</v>
      </c>
      <c r="U116" s="51">
        <f>Jawaban!U116</f>
        <v>0</v>
      </c>
      <c r="V116" s="51">
        <f>Jawaban!V116</f>
        <v>0</v>
      </c>
    </row>
    <row r="117" ht="15.75" customHeight="1" spans="1:22">
      <c r="A117" s="12">
        <v>117</v>
      </c>
      <c r="B117" s="29"/>
      <c r="C117" s="35"/>
      <c r="D117" s="35"/>
      <c r="E117" s="35"/>
      <c r="F117" s="40" t="s">
        <v>78</v>
      </c>
      <c r="G117" s="41" t="s">
        <v>430</v>
      </c>
      <c r="H117" s="42"/>
      <c r="I117" s="51" t="s">
        <v>431</v>
      </c>
      <c r="J117" s="59" t="s">
        <v>87</v>
      </c>
      <c r="K117" s="44" t="str">
        <f>Jawaban!K117</f>
        <v>A</v>
      </c>
      <c r="L117" s="56">
        <f>Jawaban!L117</f>
        <v>0</v>
      </c>
      <c r="M117" s="51" t="s">
        <v>432</v>
      </c>
      <c r="N117" s="176" t="s">
        <v>65</v>
      </c>
      <c r="O117" s="47">
        <f t="shared" si="27"/>
        <v>1</v>
      </c>
      <c r="P117" s="79"/>
      <c r="Q117" s="180" t="s">
        <v>593</v>
      </c>
      <c r="R117" s="178" t="str">
        <f>Jawaban!R117</f>
        <v>c. Dilakukan tindak lanjut atas hasil survei kepuasan masyarakat.</v>
      </c>
      <c r="S117" s="51">
        <f>Jawaban!S117</f>
        <v>0</v>
      </c>
      <c r="T117" s="51">
        <f>Jawaban!T117</f>
        <v>0</v>
      </c>
      <c r="U117" s="51">
        <f>Jawaban!U117</f>
        <v>0</v>
      </c>
      <c r="V117" s="51">
        <f>Jawaban!V117</f>
        <v>0</v>
      </c>
    </row>
    <row r="118" ht="15.75" customHeight="1" spans="1:22">
      <c r="B118" s="29"/>
      <c r="C118" s="35"/>
      <c r="D118" s="35"/>
      <c r="E118" s="35" t="s">
        <v>229</v>
      </c>
      <c r="F118" s="29" t="s">
        <v>434</v>
      </c>
      <c r="G118" s="30"/>
      <c r="H118" s="36">
        <v>1</v>
      </c>
      <c r="I118" s="37"/>
      <c r="J118" s="36"/>
      <c r="K118" s="44">
        <f>Jawaban!K118</f>
        <v>0</v>
      </c>
      <c r="L118" s="54">
        <f>Jawaban!L118</f>
        <v>0</v>
      </c>
      <c r="M118" s="93"/>
      <c r="N118" s="44"/>
      <c r="O118" s="36">
        <f>AVERAGE(O119:O121)*H118</f>
        <v>1</v>
      </c>
      <c r="P118" s="48">
        <f>O118/H118</f>
        <v>1</v>
      </c>
      <c r="Q118" s="94"/>
      <c r="R118" s="51">
        <f>Jawaban!R118</f>
        <v>0</v>
      </c>
      <c r="S118" s="51">
        <f>Jawaban!S118</f>
        <v>0</v>
      </c>
      <c r="T118" s="51">
        <f>Jawaban!T118</f>
        <v>0</v>
      </c>
      <c r="U118" s="51">
        <f>Jawaban!U118</f>
        <v>0</v>
      </c>
      <c r="V118" s="51">
        <f>Jawaban!V118</f>
        <v>0</v>
      </c>
    </row>
    <row r="119" ht="199.5" customHeight="1" spans="1:22">
      <c r="B119" s="29"/>
      <c r="C119" s="35"/>
      <c r="D119" s="35"/>
      <c r="E119" s="35"/>
      <c r="F119" s="40" t="s">
        <v>54</v>
      </c>
      <c r="G119" s="41" t="s">
        <v>435</v>
      </c>
      <c r="H119" s="42"/>
      <c r="I119" s="51" t="s">
        <v>436</v>
      </c>
      <c r="J119" s="59" t="s">
        <v>87</v>
      </c>
      <c r="K119" s="44" t="str">
        <f>Jawaban!K119</f>
        <v>A</v>
      </c>
      <c r="L119" s="51">
        <f>Jawaban!L119</f>
        <v>0</v>
      </c>
      <c r="M119" s="51" t="s">
        <v>437</v>
      </c>
      <c r="N119" s="176" t="s">
        <v>65</v>
      </c>
      <c r="O119" s="47">
        <f t="shared" ref="O119:O121" si="28">IF(J119="Ya/Tidak",IF(N119="Ya",1,IF(N119="Tidak",0,"Blm Diisi")),IF(J119="A/B/C",IF(N119="A",1,IF(N119="B",0.5,IF(N119="C",0,"Blm Diisi"))),IF(J119="A/B/C/D",IF(N119="A",1,IF(N119="B",0.67,IF(N119="C",0.33,IF(N119="D",0,"Blm Diisi")))),IF(J119="A/B/C/D/E",IF(N119="A",1,IF(N119="B",0.75,IF(N119="C",0.5,IF(N119="D",0.25,IF(N119="E",0,"Blm Diisi"))))),IF(J119="%",IF(N119="","Blm Diisi",N119),IF(J119="Jumlah",IF(N119="","Blm Diisi",""),IF(J119="Rupiah",IF(N119="","Blm Diisi",""),IF(J119="","","-"))))))))</f>
        <v>1</v>
      </c>
      <c r="P119" s="48"/>
      <c r="Q119" s="199" t="s">
        <v>593</v>
      </c>
      <c r="R119" s="178" t="str">
        <f>Jawaban!R119</f>
        <v>a. Telah menerapkan teknologi informasi dalam memberikan pelayanan.</v>
      </c>
      <c r="S119" s="51">
        <f>Jawaban!S119</f>
        <v>0</v>
      </c>
      <c r="T119" s="51">
        <f>Jawaban!T119</f>
        <v>0</v>
      </c>
      <c r="U119" s="51">
        <f>Jawaban!U119</f>
        <v>0</v>
      </c>
      <c r="V119" s="51">
        <f>Jawaban!V119</f>
        <v>0</v>
      </c>
    </row>
    <row r="120" ht="70.5" customHeight="1" spans="1:22">
      <c r="B120" s="29"/>
      <c r="C120" s="35"/>
      <c r="D120" s="35"/>
      <c r="E120" s="35"/>
      <c r="F120" s="40" t="s">
        <v>597</v>
      </c>
      <c r="G120" s="41" t="s">
        <v>440</v>
      </c>
      <c r="H120" s="42"/>
      <c r="I120" s="51" t="s">
        <v>441</v>
      </c>
      <c r="J120" s="59" t="s">
        <v>57</v>
      </c>
      <c r="K120" s="44" t="str">
        <f>Jawaban!K120</f>
        <v>Ya</v>
      </c>
      <c r="L120" s="51">
        <f>Jawaban!L120</f>
        <v>0</v>
      </c>
      <c r="M120" s="51" t="s">
        <v>442</v>
      </c>
      <c r="N120" s="176" t="s">
        <v>58</v>
      </c>
      <c r="O120" s="47">
        <f t="shared" si="28"/>
        <v>1</v>
      </c>
      <c r="P120" s="79"/>
      <c r="Q120" s="180" t="s">
        <v>593</v>
      </c>
      <c r="R120" s="178" t="str">
        <f>Jawaban!R120</f>
        <v>b. Telah membangun database pelayanan yang terintegrasi.</v>
      </c>
      <c r="S120" s="51">
        <f>Jawaban!S120</f>
        <v>0</v>
      </c>
      <c r="T120" s="51">
        <f>Jawaban!T120</f>
        <v>0</v>
      </c>
      <c r="U120" s="51">
        <f>Jawaban!U120</f>
        <v>0</v>
      </c>
      <c r="V120" s="51">
        <f>Jawaban!V120</f>
        <v>0</v>
      </c>
    </row>
    <row r="121" ht="111.75" customHeight="1" spans="1:22">
      <c r="B121" s="29"/>
      <c r="C121" s="35"/>
      <c r="D121" s="35"/>
      <c r="E121" s="35"/>
      <c r="F121" s="40" t="s">
        <v>61</v>
      </c>
      <c r="G121" s="41" t="s">
        <v>444</v>
      </c>
      <c r="H121" s="42"/>
      <c r="I121" s="51" t="s">
        <v>445</v>
      </c>
      <c r="J121" s="59" t="s">
        <v>64</v>
      </c>
      <c r="K121" s="44" t="str">
        <f>Jawaban!K121</f>
        <v>A</v>
      </c>
      <c r="L121" s="51">
        <f>Jawaban!L121</f>
        <v>0</v>
      </c>
      <c r="M121" s="51" t="s">
        <v>446</v>
      </c>
      <c r="N121" s="176" t="s">
        <v>65</v>
      </c>
      <c r="O121" s="47">
        <f t="shared" si="28"/>
        <v>1</v>
      </c>
      <c r="P121" s="79"/>
      <c r="Q121" s="177" t="s">
        <v>593</v>
      </c>
      <c r="R121" s="178" t="str">
        <f>Jawaban!R121</f>
        <v>c. Telah dilakukan perbaikan secara terus menerus.</v>
      </c>
      <c r="S121" s="51">
        <f>Jawaban!S121</f>
        <v>0</v>
      </c>
      <c r="T121" s="51">
        <f>Jawaban!T121</f>
        <v>0</v>
      </c>
      <c r="U121" s="51">
        <f>Jawaban!U121</f>
        <v>0</v>
      </c>
      <c r="V121" s="51">
        <f>Jawaban!V121</f>
        <v>0</v>
      </c>
    </row>
    <row r="122" ht="15.75" customHeight="1" spans="1:22">
      <c r="A122" s="12">
        <v>118</v>
      </c>
      <c r="B122" s="20"/>
      <c r="C122" s="21" t="s">
        <v>32</v>
      </c>
      <c r="D122" s="14" t="s">
        <v>448</v>
      </c>
      <c r="E122" s="14"/>
      <c r="F122" s="14"/>
      <c r="G122" s="15"/>
      <c r="H122" s="22">
        <v>30</v>
      </c>
      <c r="I122" s="23"/>
      <c r="J122" s="22"/>
      <c r="K122" s="22">
        <f>Jawaban!K122</f>
        <v>0</v>
      </c>
      <c r="L122" s="54">
        <f>Jawaban!L122</f>
        <v>0</v>
      </c>
      <c r="M122" s="55"/>
      <c r="N122" s="22"/>
      <c r="O122" s="22">
        <f>SUM(O123,O135,O145,O155,O164,O187)</f>
        <v>30</v>
      </c>
      <c r="P122" s="24">
        <f t="shared" ref="P122:P124" si="29">O122/H122</f>
        <v>1</v>
      </c>
      <c r="Q122" s="95"/>
      <c r="R122" s="51">
        <f>Jawaban!R122</f>
        <v>0</v>
      </c>
      <c r="S122" s="51">
        <f>Jawaban!S122</f>
        <v>0</v>
      </c>
      <c r="T122" s="51">
        <f>Jawaban!T122</f>
        <v>0</v>
      </c>
      <c r="U122" s="51">
        <f>Jawaban!U122</f>
        <v>0</v>
      </c>
      <c r="V122" s="51">
        <f>Jawaban!V122</f>
        <v>0</v>
      </c>
    </row>
    <row r="123" ht="15.75" customHeight="1" spans="1:22">
      <c r="A123" s="12">
        <v>5</v>
      </c>
      <c r="B123" s="26"/>
      <c r="C123" s="27"/>
      <c r="D123" s="28" t="s">
        <v>11</v>
      </c>
      <c r="E123" s="29" t="s">
        <v>12</v>
      </c>
      <c r="F123" s="29"/>
      <c r="G123" s="30"/>
      <c r="H123" s="31">
        <v>4</v>
      </c>
      <c r="I123" s="32"/>
      <c r="J123" s="31"/>
      <c r="K123" s="31">
        <f>Jawaban!K123</f>
        <v>0</v>
      </c>
      <c r="L123" s="54">
        <f>Jawaban!L123</f>
        <v>0</v>
      </c>
      <c r="M123" s="55"/>
      <c r="N123" s="31"/>
      <c r="O123" s="31">
        <f>SUM(O124,O131,O133)</f>
        <v>4</v>
      </c>
      <c r="P123" s="33">
        <f t="shared" si="29"/>
        <v>1</v>
      </c>
      <c r="Q123" s="96"/>
      <c r="R123" s="51">
        <f>Jawaban!R123</f>
        <v>0</v>
      </c>
      <c r="S123" s="51">
        <f>Jawaban!S123</f>
        <v>0</v>
      </c>
      <c r="T123" s="51">
        <f>Jawaban!T123</f>
        <v>0</v>
      </c>
      <c r="U123" s="51">
        <f>Jawaban!U123</f>
        <v>0</v>
      </c>
      <c r="V123" s="51">
        <f>Jawaban!V123</f>
        <v>0</v>
      </c>
    </row>
    <row r="124" ht="15.75" customHeight="1" spans="1:22">
      <c r="A124" s="12">
        <v>120</v>
      </c>
      <c r="B124" s="30"/>
      <c r="C124" s="35"/>
      <c r="D124" s="35"/>
      <c r="E124" s="35" t="s">
        <v>52</v>
      </c>
      <c r="F124" s="29" t="s">
        <v>449</v>
      </c>
      <c r="G124" s="30"/>
      <c r="H124" s="36">
        <v>2</v>
      </c>
      <c r="I124" s="37"/>
      <c r="J124" s="36"/>
      <c r="K124" s="36">
        <f>Jawaban!K124</f>
        <v>0</v>
      </c>
      <c r="L124" s="54">
        <f>Jawaban!L124</f>
        <v>0</v>
      </c>
      <c r="M124" s="55"/>
      <c r="N124" s="36"/>
      <c r="O124" s="36">
        <f>AVERAGE(O125:O130)*H124</f>
        <v>2</v>
      </c>
      <c r="P124" s="38">
        <f t="shared" si="29"/>
        <v>1</v>
      </c>
      <c r="Q124" s="81"/>
      <c r="R124" s="51">
        <f>Jawaban!R124</f>
        <v>0</v>
      </c>
      <c r="S124" s="51">
        <f>Jawaban!S124</f>
        <v>0</v>
      </c>
      <c r="T124" s="51">
        <f>Jawaban!T124</f>
        <v>0</v>
      </c>
      <c r="U124" s="51">
        <f>Jawaban!U124</f>
        <v>0</v>
      </c>
      <c r="V124" s="51">
        <f>Jawaban!V124</f>
        <v>0</v>
      </c>
    </row>
    <row r="125" ht="272.25" customHeight="1" spans="1:22">
      <c r="A125" s="12">
        <v>121</v>
      </c>
      <c r="B125" s="29"/>
      <c r="C125" s="35"/>
      <c r="D125" s="35"/>
      <c r="E125" s="35"/>
      <c r="F125" s="40" t="s">
        <v>54</v>
      </c>
      <c r="G125" s="41" t="s">
        <v>450</v>
      </c>
      <c r="H125" s="42"/>
      <c r="I125" s="41" t="s">
        <v>451</v>
      </c>
      <c r="J125" s="59" t="s">
        <v>452</v>
      </c>
      <c r="K125" s="97">
        <f>Jawaban!K125</f>
        <v>1</v>
      </c>
      <c r="L125" s="51">
        <f>Jawaban!L125</f>
        <v>0</v>
      </c>
      <c r="M125" s="41" t="s">
        <v>598</v>
      </c>
      <c r="N125" s="97">
        <f>N127/N126</f>
        <v>1</v>
      </c>
      <c r="O125" s="47">
        <f t="shared" ref="O125:O130" si="30">IF(J125="Ya/Tidak",IF(N125="Ya",1,IF(N125="Tidak",0,"Blm Diisi")),IF(J125="A/B/C",IF(N125="A",1,IF(N125="B",0.5,IF(N125="C",0,"Blm Diisi"))),IF(J125="A/B/C/D",IF(N125="A",1,IF(N125="B",0.67,IF(N125="C",0.33,IF(N125="D",0,"Blm Diisi")))),IF(J125="A/B/C/D/E",IF(N125="A",1,IF(N125="B",0.75,IF(N125="C",0.5,IF(N125="D",0.25,IF(N125="E",0,"Blm Diisi"))))),IF(J125="%",IF(N125="","Blm Diisi",N125),IF(J125="Jumlah",IF(N125="","Blm Diisi",""),IF(J125="Rupiah",IF(N125="","Blm Diisi",""),IF(J125="","","-"))))))))</f>
        <v>1</v>
      </c>
      <c r="P125" s="48"/>
      <c r="Q125" s="198" t="s">
        <v>593</v>
      </c>
      <c r="R125" s="178" t="str">
        <f>Jawaban!R125</f>
        <v>a. Agen perubahan telah membuat perubahan yang konkret di Instansi (dalam 1 tahun).</v>
      </c>
      <c r="S125" s="51">
        <f>Jawaban!S125</f>
        <v>0</v>
      </c>
      <c r="T125" s="51">
        <f>Jawaban!T125</f>
        <v>0</v>
      </c>
      <c r="U125" s="51">
        <f>Jawaban!U125</f>
        <v>0</v>
      </c>
      <c r="V125" s="51">
        <f>Jawaban!V125</f>
        <v>0</v>
      </c>
    </row>
    <row r="126" ht="15.75" customHeight="1" spans="1:22">
      <c r="A126" s="12">
        <v>122</v>
      </c>
      <c r="B126" s="29"/>
      <c r="C126" s="35"/>
      <c r="D126" s="35"/>
      <c r="E126" s="35"/>
      <c r="F126" s="40"/>
      <c r="G126" s="322" t="s">
        <v>455</v>
      </c>
      <c r="H126" s="42"/>
      <c r="I126" s="41"/>
      <c r="J126" s="59" t="s">
        <v>456</v>
      </c>
      <c r="K126" s="59">
        <f>Jawaban!K126</f>
        <v>1</v>
      </c>
      <c r="L126" s="54">
        <f>Jawaban!L126</f>
        <v>0</v>
      </c>
      <c r="M126" s="93"/>
      <c r="N126" s="200">
        <v>1</v>
      </c>
      <c r="O126" s="47" t="str">
        <f t="shared" si="30"/>
        <v/>
      </c>
      <c r="P126" s="48"/>
      <c r="Q126" s="201"/>
      <c r="R126" s="51">
        <f>Jawaban!R126</f>
        <v>0</v>
      </c>
      <c r="S126" s="51">
        <f>Jawaban!S126</f>
        <v>0</v>
      </c>
      <c r="T126" s="51">
        <f>Jawaban!T126</f>
        <v>0</v>
      </c>
      <c r="U126" s="51">
        <f>Jawaban!U126</f>
        <v>0</v>
      </c>
      <c r="V126" s="51">
        <f>Jawaban!V126</f>
        <v>0</v>
      </c>
    </row>
    <row r="127" ht="15.75" customHeight="1" spans="1:22">
      <c r="A127" s="12">
        <v>123</v>
      </c>
      <c r="B127" s="29"/>
      <c r="C127" s="35"/>
      <c r="D127" s="35"/>
      <c r="E127" s="35"/>
      <c r="F127" s="40"/>
      <c r="G127" s="322" t="s">
        <v>457</v>
      </c>
      <c r="H127" s="42"/>
      <c r="I127" s="41"/>
      <c r="J127" s="59" t="s">
        <v>456</v>
      </c>
      <c r="K127" s="59">
        <f>Jawaban!K127</f>
        <v>1</v>
      </c>
      <c r="L127" s="54">
        <f>Jawaban!L127</f>
        <v>0</v>
      </c>
      <c r="M127" s="93"/>
      <c r="N127" s="200">
        <v>1</v>
      </c>
      <c r="O127" s="47" t="str">
        <f t="shared" si="30"/>
        <v/>
      </c>
      <c r="P127" s="48"/>
      <c r="Q127" s="201"/>
      <c r="R127" s="51">
        <f>Jawaban!R127</f>
        <v>0</v>
      </c>
      <c r="S127" s="51">
        <f>Jawaban!S127</f>
        <v>0</v>
      </c>
      <c r="T127" s="51">
        <f>Jawaban!T127</f>
        <v>0</v>
      </c>
      <c r="U127" s="51">
        <f>Jawaban!U127</f>
        <v>0</v>
      </c>
      <c r="V127" s="51">
        <f>Jawaban!V127</f>
        <v>0</v>
      </c>
    </row>
    <row r="128" ht="304.5" customHeight="1" spans="1:22">
      <c r="A128" s="12">
        <v>125</v>
      </c>
      <c r="B128" s="29"/>
      <c r="C128" s="35"/>
      <c r="D128" s="35"/>
      <c r="E128" s="35"/>
      <c r="F128" s="40" t="s">
        <v>61</v>
      </c>
      <c r="G128" s="41" t="s">
        <v>458</v>
      </c>
      <c r="H128" s="42"/>
      <c r="I128" s="41"/>
      <c r="J128" s="59" t="s">
        <v>452</v>
      </c>
      <c r="K128" s="97">
        <f>Jawaban!K128</f>
        <v>1</v>
      </c>
      <c r="L128" s="51">
        <f>Jawaban!L128</f>
        <v>0</v>
      </c>
      <c r="M128" s="41" t="s">
        <v>459</v>
      </c>
      <c r="N128" s="97">
        <f>N130/N129</f>
        <v>1</v>
      </c>
      <c r="O128" s="47">
        <f t="shared" si="30"/>
        <v>1</v>
      </c>
      <c r="P128" s="48"/>
      <c r="Q128" s="198" t="s">
        <v>593</v>
      </c>
      <c r="R128" s="178" t="str">
        <f>Jawaban!R128</f>
        <v>b. Perubahan yang dibuat Agen Perubahan telah terintegrasi dalam sistem manajemen.</v>
      </c>
      <c r="S128" s="51">
        <f>Jawaban!S128</f>
        <v>0</v>
      </c>
      <c r="T128" s="51">
        <f>Jawaban!T128</f>
        <v>0</v>
      </c>
      <c r="U128" s="51">
        <f>Jawaban!U128</f>
        <v>0</v>
      </c>
      <c r="V128" s="51">
        <f>Jawaban!V128</f>
        <v>0</v>
      </c>
    </row>
    <row r="129" ht="15.75" customHeight="1" spans="1:22">
      <c r="A129" s="12">
        <v>126</v>
      </c>
      <c r="B129" s="29"/>
      <c r="C129" s="35"/>
      <c r="D129" s="35"/>
      <c r="E129" s="35"/>
      <c r="F129" s="40"/>
      <c r="G129" s="41" t="s">
        <v>457</v>
      </c>
      <c r="H129" s="42"/>
      <c r="I129" s="51"/>
      <c r="J129" s="59" t="s">
        <v>456</v>
      </c>
      <c r="K129" s="59">
        <f>Jawaban!K129</f>
        <v>1</v>
      </c>
      <c r="L129" s="54">
        <f>Jawaban!L129</f>
        <v>0</v>
      </c>
      <c r="M129" s="58"/>
      <c r="N129" s="200">
        <v>1</v>
      </c>
      <c r="O129" s="47" t="str">
        <f t="shared" si="30"/>
        <v/>
      </c>
      <c r="P129" s="48"/>
      <c r="Q129" s="201"/>
      <c r="R129" s="51">
        <f>Jawaban!R129</f>
        <v>0</v>
      </c>
      <c r="S129" s="51">
        <f>Jawaban!S129</f>
        <v>0</v>
      </c>
      <c r="T129" s="51">
        <f>Jawaban!T129</f>
        <v>0</v>
      </c>
      <c r="U129" s="51">
        <f>Jawaban!U129</f>
        <v>0</v>
      </c>
      <c r="V129" s="51">
        <f>Jawaban!V129</f>
        <v>0</v>
      </c>
    </row>
    <row r="130" ht="15.75" customHeight="1" spans="1:22">
      <c r="A130" s="12">
        <v>127</v>
      </c>
      <c r="B130" s="29"/>
      <c r="C130" s="35"/>
      <c r="D130" s="35"/>
      <c r="E130" s="35"/>
      <c r="F130" s="40"/>
      <c r="G130" s="41" t="s">
        <v>461</v>
      </c>
      <c r="H130" s="42"/>
      <c r="I130" s="51"/>
      <c r="J130" s="59" t="s">
        <v>456</v>
      </c>
      <c r="K130" s="59">
        <f>Jawaban!K130</f>
        <v>1</v>
      </c>
      <c r="L130" s="51">
        <f>Jawaban!L130</f>
        <v>0</v>
      </c>
      <c r="M130" s="58"/>
      <c r="N130" s="200">
        <v>1</v>
      </c>
      <c r="O130" s="47" t="str">
        <f t="shared" si="30"/>
        <v/>
      </c>
      <c r="P130" s="48"/>
      <c r="Q130" s="201"/>
      <c r="R130" s="51">
        <f>Jawaban!R130</f>
        <v>0</v>
      </c>
      <c r="S130" s="51">
        <f>Jawaban!S130</f>
        <v>0</v>
      </c>
      <c r="T130" s="51">
        <f>Jawaban!T130</f>
        <v>0</v>
      </c>
      <c r="U130" s="51">
        <f>Jawaban!U130</f>
        <v>0</v>
      </c>
      <c r="V130" s="51">
        <f>Jawaban!V130</f>
        <v>0</v>
      </c>
    </row>
    <row r="131" ht="15.75" customHeight="1" spans="1:22">
      <c r="A131" s="12">
        <v>128</v>
      </c>
      <c r="B131" s="30"/>
      <c r="C131" s="35"/>
      <c r="D131" s="35"/>
      <c r="E131" s="35" t="s">
        <v>68</v>
      </c>
      <c r="F131" s="29" t="s">
        <v>462</v>
      </c>
      <c r="G131" s="30" t="s">
        <v>462</v>
      </c>
      <c r="H131" s="36">
        <v>1</v>
      </c>
      <c r="I131" s="37"/>
      <c r="J131" s="36"/>
      <c r="K131" s="36">
        <f>Jawaban!K131</f>
        <v>0</v>
      </c>
      <c r="L131" s="54">
        <f>Jawaban!L131</f>
        <v>0</v>
      </c>
      <c r="M131" s="55"/>
      <c r="N131" s="36"/>
      <c r="O131" s="36">
        <f>AVERAGE(O132)*H131</f>
        <v>1</v>
      </c>
      <c r="P131" s="38">
        <f>O131/H131</f>
        <v>1</v>
      </c>
      <c r="Q131" s="81"/>
      <c r="R131" s="51">
        <f>Jawaban!R131</f>
        <v>0</v>
      </c>
      <c r="S131" s="51">
        <f>Jawaban!S131</f>
        <v>0</v>
      </c>
      <c r="T131" s="51">
        <f>Jawaban!T131</f>
        <v>0</v>
      </c>
      <c r="U131" s="51">
        <f>Jawaban!U131</f>
        <v>0</v>
      </c>
      <c r="V131" s="51">
        <f>Jawaban!V131</f>
        <v>0</v>
      </c>
    </row>
    <row r="132" ht="15.75" customHeight="1" spans="1:22">
      <c r="A132" s="12">
        <v>129</v>
      </c>
      <c r="B132" s="29"/>
      <c r="C132" s="35"/>
      <c r="D132" s="35"/>
      <c r="E132" s="35"/>
      <c r="F132" s="321" t="s">
        <v>34</v>
      </c>
      <c r="G132" s="41" t="s">
        <v>463</v>
      </c>
      <c r="H132" s="36">
        <v>1</v>
      </c>
      <c r="I132" s="51" t="s">
        <v>464</v>
      </c>
      <c r="J132" s="59" t="s">
        <v>124</v>
      </c>
      <c r="K132" s="44" t="str">
        <f>Jawaban!K132</f>
        <v>A</v>
      </c>
      <c r="L132" s="51">
        <f>Jawaban!L132</f>
        <v>0</v>
      </c>
      <c r="M132" s="51" t="s">
        <v>465</v>
      </c>
      <c r="N132" s="176" t="s">
        <v>65</v>
      </c>
      <c r="O132" s="47">
        <f>IF(J132="Ya/Tidak",IF(N132="Ya",1,IF(N132="Tidak",0,"Blm Diisi")),IF(J132="A/B/C",IF(N132="A",1,IF(N132="B",0.5,IF(N132="C",0,"Blm Diisi"))),IF(J132="A/B/C/D",IF(N132="A",1,IF(N132="B",0.67,IF(N132="C",0.33,IF(N132="D",0,"Blm Diisi")))),IF(J132="A/B/C/D/E",IF(N132="A",1,IF(N132="B",0.75,IF(N132="C",0.5,IF(N132="D",0.25,IF(N132="E",0,"Blm Diisi"))))),IF(J132="%",IF(N132="","Blm Diisi",N132),IF(J132="Jumlah",IF(N132="","Blm Diisi",""),IF(J132="Rupiah",IF(N132="","Blm Diisi",""),IF(J132="","","-"))))))))</f>
        <v>1</v>
      </c>
      <c r="P132" s="48"/>
      <c r="Q132" s="198" t="s">
        <v>593</v>
      </c>
      <c r="R132" s="178" t="str">
        <f>Jawaban!R132</f>
        <v>Pimpinan memiliki komitmen terhadap pelaksanaan reformasi birokrasi, dengan adanya target capaian reformasi yang jelas di dokumen perencanaan.</v>
      </c>
      <c r="S132" s="51">
        <f>Jawaban!S132</f>
        <v>0</v>
      </c>
      <c r="T132" s="51">
        <f>Jawaban!T132</f>
        <v>0</v>
      </c>
      <c r="U132" s="51">
        <f>Jawaban!U132</f>
        <v>0</v>
      </c>
      <c r="V132" s="51">
        <f>Jawaban!V132</f>
        <v>0</v>
      </c>
    </row>
    <row r="133" ht="15.75" customHeight="1" spans="1:22">
      <c r="A133" s="12">
        <v>130</v>
      </c>
      <c r="B133" s="30"/>
      <c r="C133" s="35"/>
      <c r="D133" s="35"/>
      <c r="E133" s="35" t="s">
        <v>83</v>
      </c>
      <c r="F133" s="29" t="s">
        <v>466</v>
      </c>
      <c r="G133" s="30" t="s">
        <v>466</v>
      </c>
      <c r="H133" s="36">
        <v>1</v>
      </c>
      <c r="I133" s="37"/>
      <c r="J133" s="36"/>
      <c r="K133" s="36">
        <f>Jawaban!K133</f>
        <v>0</v>
      </c>
      <c r="L133" s="54">
        <f>Jawaban!L133</f>
        <v>0</v>
      </c>
      <c r="M133" s="100"/>
      <c r="N133" s="36"/>
      <c r="O133" s="36">
        <f>AVERAGE(O134)*H133</f>
        <v>1</v>
      </c>
      <c r="P133" s="38">
        <f>O133/H133</f>
        <v>1</v>
      </c>
      <c r="Q133" s="81"/>
      <c r="R133" s="51">
        <f>Jawaban!R133</f>
        <v>0</v>
      </c>
      <c r="S133" s="51">
        <f>Jawaban!S133</f>
        <v>0</v>
      </c>
      <c r="T133" s="51">
        <f>Jawaban!T133</f>
        <v>0</v>
      </c>
      <c r="U133" s="51">
        <f>Jawaban!U133</f>
        <v>0</v>
      </c>
      <c r="V133" s="51">
        <f>Jawaban!V133</f>
        <v>0</v>
      </c>
    </row>
    <row r="134" ht="228" customHeight="1" spans="1:22">
      <c r="A134" s="12">
        <v>131</v>
      </c>
      <c r="B134" s="29"/>
      <c r="C134" s="35"/>
      <c r="D134" s="35"/>
      <c r="E134" s="35"/>
      <c r="F134" s="321" t="s">
        <v>34</v>
      </c>
      <c r="G134" s="41" t="s">
        <v>467</v>
      </c>
      <c r="H134" s="42"/>
      <c r="I134" s="51" t="s">
        <v>468</v>
      </c>
      <c r="J134" s="59" t="s">
        <v>87</v>
      </c>
      <c r="K134" s="44" t="str">
        <f>Jawaban!K134</f>
        <v>A</v>
      </c>
      <c r="L134" s="51">
        <f>Jawaban!L134</f>
        <v>0</v>
      </c>
      <c r="M134" s="51" t="s">
        <v>469</v>
      </c>
      <c r="N134" s="176" t="s">
        <v>65</v>
      </c>
      <c r="O134" s="47">
        <f>IF(J134="Ya/Tidak",IF(N134="Ya",1,IF(N134="Tidak",0,"Blm Diisi")),IF(J134="A/B/C",IF(N134="A",1,IF(N134="B",0.5,IF(N134="C",0,"Blm Diisi"))),IF(J134="A/B/C/D",IF(N134="A",1,IF(N134="B",0.67,IF(N134="C",0.33,IF(N134="D",0,"Blm Diisi")))),IF(J134="A/B/C/D/E",IF(N134="A",1,IF(N134="B",0.75,IF(N134="C",0.5,IF(N134="D",0.25,IF(N134="E",0,"Blm Diisi"))))),IF(J134="%",IF(N134="","Blm Diisi",N134),IF(J134="Jumlah",IF(N134="","Blm Diisi",""),IF(J134="Rupiah",IF(N134="","Blm Diisi",""),IF(J134="","","-"))))))))</f>
        <v>1</v>
      </c>
      <c r="P134" s="48"/>
      <c r="Q134" s="198" t="s">
        <v>593</v>
      </c>
      <c r="R134" s="178" t="str">
        <f>Jawaban!R134</f>
        <v>Instansi membangun budaya kerja positif dan menerapkan nilai-nilai organisasi dalam pelaksanaan tugas sehari-hari.</v>
      </c>
      <c r="S134" s="51">
        <f>Jawaban!S134</f>
        <v>0</v>
      </c>
      <c r="T134" s="51">
        <f>Jawaban!T134</f>
        <v>0</v>
      </c>
      <c r="U134" s="51">
        <f>Jawaban!U134</f>
        <v>0</v>
      </c>
      <c r="V134" s="51">
        <f>Jawaban!V134</f>
        <v>0</v>
      </c>
    </row>
    <row r="135" ht="15.75" customHeight="1" spans="1:22">
      <c r="A135" s="12">
        <v>134</v>
      </c>
      <c r="B135" s="26"/>
      <c r="C135" s="27"/>
      <c r="D135" s="28" t="s">
        <v>13</v>
      </c>
      <c r="E135" s="29" t="s">
        <v>14</v>
      </c>
      <c r="F135" s="29"/>
      <c r="G135" s="30"/>
      <c r="H135" s="31">
        <v>3.5</v>
      </c>
      <c r="I135" s="32"/>
      <c r="J135" s="31"/>
      <c r="K135" s="31">
        <f>Jawaban!K135</f>
        <v>0</v>
      </c>
      <c r="L135" s="54">
        <f>Jawaban!L135</f>
        <v>0</v>
      </c>
      <c r="M135" s="55"/>
      <c r="N135" s="31"/>
      <c r="O135" s="31">
        <f>SUM(O136,O138,O141)</f>
        <v>3.5</v>
      </c>
      <c r="P135" s="33">
        <f t="shared" ref="P135:P136" si="31">O135/H135</f>
        <v>1</v>
      </c>
      <c r="Q135" s="96"/>
      <c r="R135" s="51">
        <f>Jawaban!R135</f>
        <v>0</v>
      </c>
      <c r="S135" s="51">
        <f>Jawaban!S135</f>
        <v>0</v>
      </c>
      <c r="T135" s="51">
        <f>Jawaban!T135</f>
        <v>0</v>
      </c>
      <c r="U135" s="51">
        <f>Jawaban!U135</f>
        <v>0</v>
      </c>
      <c r="V135" s="51">
        <f>Jawaban!V135</f>
        <v>0</v>
      </c>
    </row>
    <row r="136" ht="15.75" customHeight="1" spans="1:22">
      <c r="A136" s="12">
        <v>135</v>
      </c>
      <c r="B136" s="30"/>
      <c r="C136" s="35"/>
      <c r="D136" s="35"/>
      <c r="E136" s="35" t="s">
        <v>52</v>
      </c>
      <c r="F136" s="29" t="s">
        <v>470</v>
      </c>
      <c r="G136" s="30"/>
      <c r="H136" s="36">
        <v>0.5</v>
      </c>
      <c r="I136" s="37"/>
      <c r="J136" s="36"/>
      <c r="K136" s="36">
        <f>Jawaban!K136</f>
        <v>0</v>
      </c>
      <c r="L136" s="54">
        <f>Jawaban!L136</f>
        <v>0</v>
      </c>
      <c r="M136" s="55"/>
      <c r="N136" s="36"/>
      <c r="O136" s="36">
        <f>AVERAGE(O137)*H136</f>
        <v>0.5</v>
      </c>
      <c r="P136" s="38">
        <f t="shared" si="31"/>
        <v>1</v>
      </c>
      <c r="Q136" s="81"/>
      <c r="R136" s="51">
        <f>Jawaban!R136</f>
        <v>0</v>
      </c>
      <c r="S136" s="51">
        <f>Jawaban!S136</f>
        <v>0</v>
      </c>
      <c r="T136" s="51">
        <f>Jawaban!T136</f>
        <v>0</v>
      </c>
      <c r="U136" s="51">
        <f>Jawaban!U136</f>
        <v>0</v>
      </c>
      <c r="V136" s="51">
        <f>Jawaban!V136</f>
        <v>0</v>
      </c>
    </row>
    <row r="137" ht="266.25" customHeight="1" spans="1:22">
      <c r="A137" s="12">
        <v>136</v>
      </c>
      <c r="B137" s="29"/>
      <c r="C137" s="35"/>
      <c r="D137" s="35"/>
      <c r="E137" s="35"/>
      <c r="F137" s="321" t="s">
        <v>34</v>
      </c>
      <c r="G137" s="41" t="s">
        <v>471</v>
      </c>
      <c r="H137" s="42"/>
      <c r="I137" s="51" t="s">
        <v>472</v>
      </c>
      <c r="J137" s="59" t="s">
        <v>87</v>
      </c>
      <c r="K137" s="44" t="str">
        <f>Jawaban!K137</f>
        <v>A</v>
      </c>
      <c r="L137" s="51">
        <f>Jawaban!L137</f>
        <v>0</v>
      </c>
      <c r="M137" s="51" t="s">
        <v>473</v>
      </c>
      <c r="N137" s="176" t="s">
        <v>65</v>
      </c>
      <c r="O137" s="47">
        <f>IF(J137="Ya/Tidak",IF(N137="Ya",1,IF(N137="Tidak",0,"Blm Diisi")),IF(J137="A/B/C",IF(N137="A",1,IF(N137="B",0.5,IF(N137="C",0,"Blm Diisi"))),IF(J137="A/B/C/D",IF(N137="A",1,IF(N137="B",0.67,IF(N137="C",0.33,IF(N137="D",0,"Blm Diisi")))),IF(J137="A/B/C/D/E",IF(N137="A",1,IF(N137="B",0.75,IF(N137="C",0.5,IF(N137="D",0.25,IF(N137="E",0,"Blm Diisi"))))),IF(J137="%",IF(N137="","Blm Diisi",N137),IF(J137="Jumlah",IF(N137="","Blm Diisi",""),IF(J137="Rupiah",IF(N137="","Blm Diisi",""),IF(J137="","","-"))))))))</f>
        <v>1</v>
      </c>
      <c r="P137" s="48"/>
      <c r="Q137" s="198" t="s">
        <v>593</v>
      </c>
      <c r="R137" s="178" t="str">
        <f>Jawaban!R137</f>
        <v>Telah disusun peta proses bisnis dengan adanya penyederhanaan jabatan. </v>
      </c>
      <c r="S137" s="51">
        <f>Jawaban!S137</f>
        <v>0</v>
      </c>
      <c r="T137" s="51">
        <f>Jawaban!T137</f>
        <v>0</v>
      </c>
      <c r="U137" s="51">
        <f>Jawaban!U137</f>
        <v>0</v>
      </c>
      <c r="V137" s="51">
        <f>Jawaban!V137</f>
        <v>0</v>
      </c>
    </row>
    <row r="138" ht="15.75" customHeight="1" spans="1:22">
      <c r="A138" s="12">
        <v>137</v>
      </c>
      <c r="B138" s="30"/>
      <c r="C138" s="35"/>
      <c r="D138" s="35"/>
      <c r="E138" s="35" t="s">
        <v>68</v>
      </c>
      <c r="F138" s="29" t="s">
        <v>474</v>
      </c>
      <c r="G138" s="30"/>
      <c r="H138" s="36">
        <v>1</v>
      </c>
      <c r="I138" s="37"/>
      <c r="J138" s="36"/>
      <c r="K138" s="36">
        <f>Jawaban!K138</f>
        <v>0</v>
      </c>
      <c r="L138" s="54">
        <f>Jawaban!L138</f>
        <v>0</v>
      </c>
      <c r="M138" s="100"/>
      <c r="N138" s="36"/>
      <c r="O138" s="36">
        <f>AVERAGE(O139:O140)*H138</f>
        <v>1</v>
      </c>
      <c r="P138" s="38">
        <f>O138/H138</f>
        <v>1</v>
      </c>
      <c r="Q138" s="81"/>
      <c r="R138" s="51">
        <f>Jawaban!R138</f>
        <v>0</v>
      </c>
      <c r="S138" s="51">
        <f>Jawaban!S138</f>
        <v>0</v>
      </c>
      <c r="T138" s="51">
        <f>Jawaban!T138</f>
        <v>0</v>
      </c>
      <c r="U138" s="51">
        <f>Jawaban!U138</f>
        <v>0</v>
      </c>
      <c r="V138" s="51">
        <f>Jawaban!V138</f>
        <v>0</v>
      </c>
    </row>
    <row r="139" ht="15.75" customHeight="1" spans="1:22">
      <c r="A139" s="12">
        <v>138</v>
      </c>
      <c r="B139" s="29"/>
      <c r="C139" s="35"/>
      <c r="D139" s="35"/>
      <c r="E139" s="35"/>
      <c r="F139" s="40" t="s">
        <v>28</v>
      </c>
      <c r="G139" s="41" t="s">
        <v>475</v>
      </c>
      <c r="H139" s="42"/>
      <c r="I139" s="51" t="s">
        <v>476</v>
      </c>
      <c r="J139" s="59" t="s">
        <v>64</v>
      </c>
      <c r="K139" s="44" t="str">
        <f>Jawaban!K139</f>
        <v>A</v>
      </c>
      <c r="L139" s="51">
        <f>Jawaban!L139</f>
        <v>0</v>
      </c>
      <c r="M139" s="51" t="s">
        <v>477</v>
      </c>
      <c r="N139" s="176" t="s">
        <v>65</v>
      </c>
      <c r="O139" s="47">
        <f t="shared" ref="O139:O140" si="32">IF(J139="Ya/Tidak",IF(N139="Ya",1,IF(N139="Tidak",0,"Blm Diisi")),IF(J139="A/B/C",IF(N139="A",1,IF(N139="B",0.5,IF(N139="C",0,"Blm Diisi"))),IF(J139="A/B/C/D",IF(N139="A",1,IF(N139="B",0.67,IF(N139="C",0.33,IF(N139="D",0,"Blm Diisi")))),IF(J139="A/B/C/D/E",IF(N139="A",1,IF(N139="B",0.75,IF(N139="C",0.5,IF(N139="D",0.25,IF(N139="E",0,"Blm Diisi"))))),IF(J139="%",IF(N139="","Blm Diisi",N139),IF(J139="Jumlah",IF(N139="","Blm Diisi",""),IF(J139="Rupiah",IF(N139="","Blm Diisi",""),IF(J139="","","-"))))))))</f>
        <v>1</v>
      </c>
      <c r="P139" s="48"/>
      <c r="Q139" s="198" t="s">
        <v>593</v>
      </c>
      <c r="R139" s="178" t="str">
        <f>Jawaban!R139</f>
        <v>a. Implementasi SPBE telah terintegrasi dan mampu mendorong pelaksanaan pelayanan publik yang lebih cepat dan efisien.</v>
      </c>
      <c r="S139" s="51">
        <f>Jawaban!S139</f>
        <v>0</v>
      </c>
      <c r="T139" s="51">
        <f>Jawaban!T139</f>
        <v>0</v>
      </c>
      <c r="U139" s="51">
        <f>Jawaban!U139</f>
        <v>0</v>
      </c>
      <c r="V139" s="51">
        <f>Jawaban!V139</f>
        <v>0</v>
      </c>
    </row>
    <row r="140" ht="15.75" customHeight="1" spans="1:22">
      <c r="A140" s="12">
        <v>139</v>
      </c>
      <c r="B140" s="29"/>
      <c r="C140" s="35"/>
      <c r="D140" s="35"/>
      <c r="E140" s="35"/>
      <c r="F140" s="40" t="s">
        <v>30</v>
      </c>
      <c r="G140" s="41" t="s">
        <v>479</v>
      </c>
      <c r="H140" s="42"/>
      <c r="I140" s="51" t="s">
        <v>480</v>
      </c>
      <c r="J140" s="59" t="s">
        <v>64</v>
      </c>
      <c r="K140" s="44" t="str">
        <f>Jawaban!K140</f>
        <v>A</v>
      </c>
      <c r="L140" s="51">
        <f>Jawaban!L140</f>
        <v>0</v>
      </c>
      <c r="M140" s="51" t="s">
        <v>481</v>
      </c>
      <c r="N140" s="176" t="s">
        <v>65</v>
      </c>
      <c r="O140" s="47">
        <f t="shared" si="32"/>
        <v>1</v>
      </c>
      <c r="P140" s="48"/>
      <c r="Q140" s="198" t="s">
        <v>593</v>
      </c>
      <c r="R140" s="178" t="str">
        <f>Jawaban!R140</f>
        <v>b. Implementasi SPBE telah terintegrasi dan mampu mendorong pelaksanaan pelayanan internal organisasi yang lebih cepat dan efisien.</v>
      </c>
      <c r="S140" s="51">
        <f>Jawaban!S140</f>
        <v>0</v>
      </c>
      <c r="T140" s="51">
        <f>Jawaban!T140</f>
        <v>0</v>
      </c>
      <c r="U140" s="51">
        <f>Jawaban!U140</f>
        <v>0</v>
      </c>
      <c r="V140" s="51">
        <f>Jawaban!V140</f>
        <v>0</v>
      </c>
    </row>
    <row r="141" ht="15.75" customHeight="1" spans="1:22">
      <c r="A141" s="12">
        <v>140</v>
      </c>
      <c r="B141" s="30"/>
      <c r="C141" s="35"/>
      <c r="D141" s="35"/>
      <c r="E141" s="35" t="s">
        <v>83</v>
      </c>
      <c r="F141" s="29" t="s">
        <v>483</v>
      </c>
      <c r="G141" s="30"/>
      <c r="H141" s="36">
        <v>2</v>
      </c>
      <c r="I141" s="37"/>
      <c r="J141" s="36"/>
      <c r="K141" s="36">
        <f>Jawaban!K141</f>
        <v>0</v>
      </c>
      <c r="L141" s="54">
        <f>Jawaban!L141</f>
        <v>0</v>
      </c>
      <c r="M141" s="100"/>
      <c r="N141" s="36"/>
      <c r="O141" s="36">
        <f>AVERAGE(O142:O144)*H141</f>
        <v>2</v>
      </c>
      <c r="P141" s="38">
        <f>O141/H141</f>
        <v>1</v>
      </c>
      <c r="Q141" s="81"/>
      <c r="R141" s="51">
        <f>Jawaban!R141</f>
        <v>0</v>
      </c>
      <c r="S141" s="51">
        <f>Jawaban!S141</f>
        <v>0</v>
      </c>
      <c r="T141" s="51">
        <f>Jawaban!T141</f>
        <v>0</v>
      </c>
      <c r="U141" s="51">
        <f>Jawaban!U141</f>
        <v>0</v>
      </c>
      <c r="V141" s="51">
        <f>Jawaban!V141</f>
        <v>0</v>
      </c>
    </row>
    <row r="142" ht="15.75" customHeight="1" spans="1:22">
      <c r="A142" s="12">
        <v>141</v>
      </c>
      <c r="B142" s="29"/>
      <c r="C142" s="35"/>
      <c r="D142" s="35"/>
      <c r="E142" s="35"/>
      <c r="F142" s="40" t="s">
        <v>54</v>
      </c>
      <c r="G142" s="41" t="s">
        <v>484</v>
      </c>
      <c r="H142" s="42"/>
      <c r="I142" s="51" t="s">
        <v>485</v>
      </c>
      <c r="J142" s="59" t="s">
        <v>124</v>
      </c>
      <c r="K142" s="44" t="str">
        <f>Jawaban!K142</f>
        <v>A</v>
      </c>
      <c r="L142" s="51">
        <f>Jawaban!L142</f>
        <v>0</v>
      </c>
      <c r="M142" s="51" t="s">
        <v>486</v>
      </c>
      <c r="N142" s="176" t="s">
        <v>65</v>
      </c>
      <c r="O142" s="47">
        <f t="shared" ref="O142:O144" si="33">IF(J142="Ya/Tidak",IF(N142="Ya",1,IF(N142="Tidak",0,"Blm Diisi")),IF(J142="A/B/C",IF(N142="A",1,IF(N142="B",0.5,IF(N142="C",0,"Blm Diisi"))),IF(J142="A/B/C/D",IF(N142="A",1,IF(N142="B",0.67,IF(N142="C",0.33,IF(N142="D",0,"Blm Diisi")))),IF(J142="A/B/C/D/E",IF(N142="A",1,IF(N142="B",0.75,IF(N142="C",0.5,IF(N142="D",0.25,IF(N142="E",0,"Blm Diisi"))))),IF(J142="%",IF(N142="","Blm Diisi",N142),IF(J142="Jumlah",IF(N142="","Blm Diisi",""),IF(J142="Rupiah",IF(N142="","Blm Diisi",""),IF(J142="","","-"))))))))</f>
        <v>1</v>
      </c>
      <c r="P142" s="48"/>
      <c r="Q142" s="198" t="s">
        <v>593</v>
      </c>
      <c r="R142" s="178" t="str">
        <f>Jawaban!R142</f>
        <v>a. Transformasi digital pada bidang proses bisnis utama telah mampu memberikan nilai manfaat bagi unit kerja secara optimal. </v>
      </c>
      <c r="S142" s="51">
        <f>Jawaban!S142</f>
        <v>0</v>
      </c>
      <c r="T142" s="51">
        <f>Jawaban!T142</f>
        <v>0</v>
      </c>
      <c r="U142" s="51">
        <f>Jawaban!U142</f>
        <v>0</v>
      </c>
      <c r="V142" s="51">
        <f>Jawaban!V142</f>
        <v>0</v>
      </c>
    </row>
    <row r="143" ht="15.75" customHeight="1" spans="1:22">
      <c r="A143" s="12">
        <v>142</v>
      </c>
      <c r="B143" s="29"/>
      <c r="C143" s="35"/>
      <c r="D143" s="35"/>
      <c r="E143" s="35"/>
      <c r="F143" s="40" t="s">
        <v>61</v>
      </c>
      <c r="G143" s="41" t="s">
        <v>488</v>
      </c>
      <c r="H143" s="42"/>
      <c r="I143" s="51" t="s">
        <v>489</v>
      </c>
      <c r="J143" s="59" t="s">
        <v>124</v>
      </c>
      <c r="K143" s="44" t="str">
        <f>Jawaban!K143</f>
        <v>A</v>
      </c>
      <c r="L143" s="51">
        <f>Jawaban!L143</f>
        <v>0</v>
      </c>
      <c r="M143" s="51" t="s">
        <v>490</v>
      </c>
      <c r="N143" s="176" t="s">
        <v>65</v>
      </c>
      <c r="O143" s="47">
        <f t="shared" si="33"/>
        <v>1</v>
      </c>
      <c r="P143" s="48"/>
      <c r="Q143" s="198" t="s">
        <v>593</v>
      </c>
      <c r="R143" s="178" t="str">
        <f>Jawaban!R143</f>
        <v>b. Transformasi digital pada bidang administrasi pemerintahan telah mampu memberikan nilai manfaat bagi unit kerja secara optimal. </v>
      </c>
      <c r="S143" s="51">
        <f>Jawaban!S143</f>
        <v>0</v>
      </c>
      <c r="T143" s="51">
        <f>Jawaban!T143</f>
        <v>0</v>
      </c>
      <c r="U143" s="51">
        <f>Jawaban!U143</f>
        <v>0</v>
      </c>
      <c r="V143" s="51">
        <f>Jawaban!V143</f>
        <v>0</v>
      </c>
    </row>
    <row r="144" ht="15.75" customHeight="1" spans="1:22">
      <c r="A144" s="12">
        <v>143</v>
      </c>
      <c r="B144" s="29"/>
      <c r="C144" s="35"/>
      <c r="D144" s="35"/>
      <c r="E144" s="35"/>
      <c r="F144" s="40" t="s">
        <v>78</v>
      </c>
      <c r="G144" s="41" t="s">
        <v>492</v>
      </c>
      <c r="H144" s="42"/>
      <c r="I144" s="51" t="s">
        <v>493</v>
      </c>
      <c r="J144" s="59" t="s">
        <v>124</v>
      </c>
      <c r="K144" s="44" t="str">
        <f>Jawaban!K144</f>
        <v>A</v>
      </c>
      <c r="L144" s="51">
        <f>Jawaban!L144</f>
        <v>0</v>
      </c>
      <c r="M144" s="51" t="s">
        <v>494</v>
      </c>
      <c r="N144" s="176" t="s">
        <v>65</v>
      </c>
      <c r="O144" s="47">
        <f t="shared" si="33"/>
        <v>1</v>
      </c>
      <c r="P144" s="48"/>
      <c r="Q144" s="198" t="s">
        <v>593</v>
      </c>
      <c r="R144" s="178" t="str">
        <f>Jawaban!R144</f>
        <v>c. Transformasi digital pada bidang pelayanan publik telah mampu memberikan nilai manfaat bagi unit kerja secara optimal.</v>
      </c>
      <c r="S144" s="51">
        <f>Jawaban!S144</f>
        <v>0</v>
      </c>
      <c r="T144" s="51">
        <f>Jawaban!T144</f>
        <v>0</v>
      </c>
      <c r="U144" s="51">
        <f>Jawaban!U144</f>
        <v>0</v>
      </c>
      <c r="V144" s="51">
        <f>Jawaban!V144</f>
        <v>0</v>
      </c>
    </row>
    <row r="145" ht="15.75" customHeight="1" spans="1:22">
      <c r="A145" s="12">
        <v>147</v>
      </c>
      <c r="B145" s="26"/>
      <c r="C145" s="27"/>
      <c r="D145" s="28" t="s">
        <v>15</v>
      </c>
      <c r="E145" s="29" t="s">
        <v>16</v>
      </c>
      <c r="F145" s="29"/>
      <c r="G145" s="30"/>
      <c r="H145" s="31">
        <v>5</v>
      </c>
      <c r="I145" s="32"/>
      <c r="J145" s="31"/>
      <c r="K145" s="31">
        <f>Jawaban!K145</f>
        <v>0</v>
      </c>
      <c r="L145" s="54">
        <f>Jawaban!L145</f>
        <v>0</v>
      </c>
      <c r="M145" s="55"/>
      <c r="N145" s="31"/>
      <c r="O145" s="31">
        <f>SUM(O146,O148,O150)</f>
        <v>5</v>
      </c>
      <c r="P145" s="33">
        <f t="shared" ref="P145:P146" si="34">O145/H145</f>
        <v>1</v>
      </c>
      <c r="Q145" s="96"/>
      <c r="R145" s="51">
        <f>Jawaban!R145</f>
        <v>0</v>
      </c>
      <c r="S145" s="51">
        <f>Jawaban!S145</f>
        <v>0</v>
      </c>
      <c r="T145" s="51">
        <f>Jawaban!T145</f>
        <v>0</v>
      </c>
      <c r="U145" s="51">
        <f>Jawaban!U145</f>
        <v>0</v>
      </c>
      <c r="V145" s="51">
        <f>Jawaban!V145</f>
        <v>0</v>
      </c>
    </row>
    <row r="146" ht="15.75" customHeight="1" spans="1:22">
      <c r="A146" s="12">
        <v>148</v>
      </c>
      <c r="B146" s="30"/>
      <c r="C146" s="35"/>
      <c r="D146" s="35"/>
      <c r="E146" s="35" t="s">
        <v>52</v>
      </c>
      <c r="F146" s="29" t="s">
        <v>496</v>
      </c>
      <c r="G146" s="30"/>
      <c r="H146" s="36">
        <v>1.5</v>
      </c>
      <c r="I146" s="37"/>
      <c r="J146" s="36"/>
      <c r="K146" s="36">
        <f>Jawaban!K146</f>
        <v>0</v>
      </c>
      <c r="L146" s="54">
        <f>Jawaban!L146</f>
        <v>0</v>
      </c>
      <c r="M146" s="55"/>
      <c r="N146" s="36"/>
      <c r="O146" s="36">
        <f>AVERAGE(O147)*H146</f>
        <v>1.5</v>
      </c>
      <c r="P146" s="38">
        <f t="shared" si="34"/>
        <v>1</v>
      </c>
      <c r="Q146" s="81"/>
      <c r="R146" s="51">
        <f>Jawaban!R146</f>
        <v>0</v>
      </c>
      <c r="S146" s="51">
        <f>Jawaban!S146</f>
        <v>0</v>
      </c>
      <c r="T146" s="51">
        <f>Jawaban!T146</f>
        <v>0</v>
      </c>
      <c r="U146" s="51">
        <f>Jawaban!U146</f>
        <v>0</v>
      </c>
      <c r="V146" s="51">
        <f>Jawaban!V146</f>
        <v>0</v>
      </c>
    </row>
    <row r="147" ht="240" customHeight="1" spans="1:22">
      <c r="A147" s="12">
        <v>149</v>
      </c>
      <c r="B147" s="29"/>
      <c r="C147" s="35"/>
      <c r="D147" s="35"/>
      <c r="E147" s="35"/>
      <c r="F147" s="321" t="s">
        <v>28</v>
      </c>
      <c r="G147" s="41" t="s">
        <v>497</v>
      </c>
      <c r="H147" s="42"/>
      <c r="I147" s="51" t="s">
        <v>498</v>
      </c>
      <c r="J147" s="59" t="s">
        <v>64</v>
      </c>
      <c r="K147" s="44" t="str">
        <f>Jawaban!K147</f>
        <v>A</v>
      </c>
      <c r="L147" s="51">
        <f>Jawaban!L147</f>
        <v>0</v>
      </c>
      <c r="M147" s="51" t="s">
        <v>499</v>
      </c>
      <c r="N147" s="176" t="s">
        <v>65</v>
      </c>
      <c r="O147" s="47">
        <f>IF(J147="Ya/Tidak",IF(N147="Ya",1,IF(N147="Tidak",0,"Blm Diisi")),IF(J147="A/B/C",IF(N147="A",1,IF(N147="B",0.5,IF(N147="C",0,"Blm Diisi"))),IF(J147="A/B/C/D",IF(N147="A",1,IF(N147="B",0.67,IF(N147="C",0.33,IF(N147="D",0,"Blm Diisi")))),IF(J147="A/B/C/D/E",IF(N147="A",1,IF(N147="B",0.75,IF(N147="C",0.5,IF(N147="D",0.25,IF(N147="E",0,"Blm Diisi"))))),IF(J147="%",IF(N147="","Blm Diisi",N147),IF(J147="Jumlah",IF(N147="","Blm Diisi",""),IF(J147="Rupiah",IF(N147="","Blm Diisi",""),IF(J147="","","-"))))))))</f>
        <v>1</v>
      </c>
      <c r="P147" s="48"/>
      <c r="Q147" s="198" t="s">
        <v>593</v>
      </c>
      <c r="R147" s="178" t="str">
        <f>Jawaban!R147</f>
        <v>a. Ukuran kinerja individu telah berorientasi hasil (outcome) sesuai pada levelnya.</v>
      </c>
      <c r="S147" s="51">
        <f>Jawaban!S147</f>
        <v>0</v>
      </c>
      <c r="T147" s="51">
        <f>Jawaban!T147</f>
        <v>0</v>
      </c>
      <c r="U147" s="51">
        <f>Jawaban!U147</f>
        <v>0</v>
      </c>
      <c r="V147" s="51">
        <f>Jawaban!V147</f>
        <v>0</v>
      </c>
    </row>
    <row r="148" ht="15.75" customHeight="1" spans="1:22">
      <c r="A148" s="12">
        <v>150</v>
      </c>
      <c r="B148" s="30"/>
      <c r="C148" s="35"/>
      <c r="D148" s="35"/>
      <c r="E148" s="35" t="s">
        <v>68</v>
      </c>
      <c r="F148" s="29" t="s">
        <v>501</v>
      </c>
      <c r="G148" s="30"/>
      <c r="H148" s="36">
        <v>1.5</v>
      </c>
      <c r="I148" s="37"/>
      <c r="J148" s="36"/>
      <c r="K148" s="36">
        <f>Jawaban!K148</f>
        <v>0</v>
      </c>
      <c r="L148" s="54">
        <f>Jawaban!L148</f>
        <v>0</v>
      </c>
      <c r="M148" s="55"/>
      <c r="N148" s="36"/>
      <c r="O148" s="36">
        <f>AVERAGE(O149)*H148</f>
        <v>1.5</v>
      </c>
      <c r="P148" s="38">
        <f>O148/H148</f>
        <v>1</v>
      </c>
      <c r="Q148" s="81"/>
      <c r="R148" s="51">
        <f>Jawaban!R148</f>
        <v>0</v>
      </c>
      <c r="S148" s="51">
        <f>Jawaban!S148</f>
        <v>0</v>
      </c>
      <c r="T148" s="51">
        <f>Jawaban!T148</f>
        <v>0</v>
      </c>
      <c r="U148" s="51">
        <f>Jawaban!U148</f>
        <v>0</v>
      </c>
      <c r="V148" s="51">
        <f>Jawaban!V148</f>
        <v>0</v>
      </c>
    </row>
    <row r="149" ht="15.75" customHeight="1" spans="1:22">
      <c r="A149" s="12">
        <v>151</v>
      </c>
      <c r="B149" s="29"/>
      <c r="C149" s="35"/>
      <c r="D149" s="35"/>
      <c r="E149" s="35"/>
      <c r="F149" s="321" t="s">
        <v>28</v>
      </c>
      <c r="G149" s="41" t="s">
        <v>502</v>
      </c>
      <c r="H149" s="42"/>
      <c r="I149" s="51" t="s">
        <v>503</v>
      </c>
      <c r="J149" s="59" t="s">
        <v>64</v>
      </c>
      <c r="K149" s="44" t="str">
        <f>Jawaban!K149</f>
        <v>A</v>
      </c>
      <c r="L149" s="51">
        <f>Jawaban!L149</f>
        <v>0</v>
      </c>
      <c r="M149" s="51" t="s">
        <v>504</v>
      </c>
      <c r="N149" s="176" t="s">
        <v>65</v>
      </c>
      <c r="O149" s="47">
        <f>IF(J149="Ya/Tidak",IF(N149="Ya",1,IF(N149="Tidak",0,"Blm Diisi")),IF(J149="A/B/C",IF(N149="A",1,IF(N149="B",0.5,IF(N149="C",0,"Blm Diisi"))),IF(J149="A/B/C/D",IF(N149="A",1,IF(N149="B",0.67,IF(N149="C",0.33,IF(N149="D",0,"Blm Diisi")))),IF(J149="A/B/C/D/E",IF(N149="A",1,IF(N149="B",0.75,IF(N149="C",0.5,IF(N149="D",0.25,IF(N149="E",0,"Blm Diisi"))))),IF(J149="%",IF(N149="","Blm Diisi",N149),IF(J149="Jumlah",IF(N149="","Blm Diisi",""),IF(J149="Rupiah",IF(N149="","Blm Diisi",""),IF(J149="","","-"))))))))</f>
        <v>1</v>
      </c>
      <c r="P149" s="48"/>
      <c r="Q149" s="198" t="s">
        <v>593</v>
      </c>
      <c r="R149" s="178" t="str">
        <f>Jawaban!R149</f>
        <v>a. Hasil assement telah dijadikan pertimbangan untuk mutasi dan pengembangan karir pegawai.</v>
      </c>
      <c r="S149" s="51">
        <f>Jawaban!S149</f>
        <v>0</v>
      </c>
      <c r="T149" s="51">
        <f>Jawaban!T149</f>
        <v>0</v>
      </c>
      <c r="U149" s="51">
        <f>Jawaban!U149</f>
        <v>0</v>
      </c>
      <c r="V149" s="51">
        <f>Jawaban!V149</f>
        <v>0</v>
      </c>
    </row>
    <row r="150" ht="15.75" customHeight="1" spans="1:22">
      <c r="A150" s="12">
        <v>152</v>
      </c>
      <c r="B150" s="30"/>
      <c r="C150" s="35"/>
      <c r="D150" s="35"/>
      <c r="E150" s="35" t="s">
        <v>83</v>
      </c>
      <c r="F150" s="29" t="s">
        <v>506</v>
      </c>
      <c r="G150" s="30"/>
      <c r="H150" s="36">
        <v>2</v>
      </c>
      <c r="I150" s="37"/>
      <c r="J150" s="36"/>
      <c r="K150" s="36">
        <f>Jawaban!K150</f>
        <v>0</v>
      </c>
      <c r="L150" s="54">
        <f>Jawaban!L150</f>
        <v>0</v>
      </c>
      <c r="M150" s="100"/>
      <c r="N150" s="36"/>
      <c r="O150" s="36">
        <f>AVERAGE(O151:O154)*H150</f>
        <v>2</v>
      </c>
      <c r="P150" s="38">
        <f>O150/H150</f>
        <v>1</v>
      </c>
      <c r="Q150" s="81"/>
      <c r="R150" s="51">
        <f>Jawaban!R150</f>
        <v>0</v>
      </c>
      <c r="S150" s="51">
        <f>Jawaban!S150</f>
        <v>0</v>
      </c>
      <c r="T150" s="51">
        <f>Jawaban!T150</f>
        <v>0</v>
      </c>
      <c r="U150" s="51">
        <f>Jawaban!U150</f>
        <v>0</v>
      </c>
      <c r="V150" s="51">
        <f>Jawaban!V150</f>
        <v>0</v>
      </c>
    </row>
    <row r="151" ht="15.75" customHeight="1" spans="1:22">
      <c r="A151" s="12">
        <v>153</v>
      </c>
      <c r="B151" s="29"/>
      <c r="C151" s="35"/>
      <c r="D151" s="35"/>
      <c r="E151" s="35"/>
      <c r="F151" s="321" t="s">
        <v>28</v>
      </c>
      <c r="G151" s="41" t="s">
        <v>507</v>
      </c>
      <c r="H151" s="42"/>
      <c r="I151" s="41" t="s">
        <v>508</v>
      </c>
      <c r="J151" s="59" t="s">
        <v>452</v>
      </c>
      <c r="K151" s="97">
        <f>Jawaban!K151</f>
        <v>1</v>
      </c>
      <c r="L151" s="51">
        <f>Jawaban!L151</f>
        <v>0</v>
      </c>
      <c r="M151" s="41" t="s">
        <v>509</v>
      </c>
      <c r="N151" s="97">
        <f>IF(OR(N152="",N153=""),"#DIV/0!",IF(N153=0,100%,IF(AND(N152=0,N153&gt;0),0%,IF((N152-N153)/N152&lt;0,0%,(N152-N153)/N152))))</f>
        <v>1</v>
      </c>
      <c r="O151" s="47">
        <f t="shared" ref="O151:O154" si="35">IF(J151="Ya/Tidak",IF(N151="Ya",1,IF(N151="Tidak",0,"Blm Diisi")),IF(J151="A/B/C",IF(N151="A",1,IF(N151="B",0.5,IF(N151="C",0,"Blm Diisi"))),IF(J151="A/B/C/D",IF(N151="A",1,IF(N151="B",0.67,IF(N151="C",0.33,IF(N151="D",0,"Blm Diisi")))),IF(J151="A/B/C/D/E",IF(N151="A",1,IF(N151="B",0.75,IF(N151="C",0.5,IF(N151="D",0.25,IF(N151="E",0,"Blm Diisi"))))),IF(J151="%",IF(N151="","Blm Diisi",N151),IF(J151="Jumlah",IF(N151="","Blm Diisi",""),IF(J151="Rupiah",IF(N151="","Blm Diisi",""),IF(J151="","","-"))))))))</f>
        <v>1</v>
      </c>
      <c r="P151" s="48"/>
      <c r="Q151" s="198" t="s">
        <v>593</v>
      </c>
      <c r="R151" s="178" t="str">
        <f>Jawaban!R151</f>
        <v>a. Penurunan pelanggaran disiplin pegawai. </v>
      </c>
      <c r="S151" s="51">
        <f>Jawaban!S151</f>
        <v>0</v>
      </c>
      <c r="T151" s="51">
        <f>Jawaban!T151</f>
        <v>0</v>
      </c>
      <c r="U151" s="51">
        <f>Jawaban!U151</f>
        <v>0</v>
      </c>
      <c r="V151" s="51">
        <f>Jawaban!V151</f>
        <v>0</v>
      </c>
    </row>
    <row r="152" ht="15.75" customHeight="1" spans="1:22">
      <c r="A152" s="12">
        <v>154</v>
      </c>
      <c r="B152" s="29"/>
      <c r="C152" s="35"/>
      <c r="D152" s="35"/>
      <c r="E152" s="35"/>
      <c r="F152" s="40"/>
      <c r="G152" s="322" t="s">
        <v>511</v>
      </c>
      <c r="H152" s="42"/>
      <c r="I152" s="41"/>
      <c r="J152" s="59" t="s">
        <v>456</v>
      </c>
      <c r="K152" s="59">
        <f>Jawaban!K152</f>
        <v>1</v>
      </c>
      <c r="L152" s="51">
        <f>Jawaban!L152</f>
        <v>0</v>
      </c>
      <c r="M152" s="93"/>
      <c r="N152" s="200">
        <v>1</v>
      </c>
      <c r="O152" s="47" t="str">
        <f t="shared" si="35"/>
        <v/>
      </c>
      <c r="P152" s="48"/>
      <c r="Q152" s="201"/>
      <c r="R152" s="51">
        <f>Jawaban!R152</f>
        <v>0</v>
      </c>
      <c r="S152" s="51">
        <f>Jawaban!S152</f>
        <v>0</v>
      </c>
      <c r="T152" s="51">
        <f>Jawaban!T152</f>
        <v>0</v>
      </c>
      <c r="U152" s="51">
        <f>Jawaban!U152</f>
        <v>0</v>
      </c>
      <c r="V152" s="51">
        <f>Jawaban!V152</f>
        <v>0</v>
      </c>
    </row>
    <row r="153" ht="15.75" customHeight="1" spans="1:22">
      <c r="A153" s="12">
        <v>155</v>
      </c>
      <c r="B153" s="29"/>
      <c r="C153" s="35"/>
      <c r="D153" s="35"/>
      <c r="E153" s="35"/>
      <c r="F153" s="40"/>
      <c r="G153" s="322" t="s">
        <v>512</v>
      </c>
      <c r="H153" s="42"/>
      <c r="I153" s="41"/>
      <c r="J153" s="59" t="s">
        <v>456</v>
      </c>
      <c r="K153" s="59">
        <f>Jawaban!K153</f>
        <v>0</v>
      </c>
      <c r="L153" s="51">
        <f>Jawaban!L153</f>
        <v>0</v>
      </c>
      <c r="M153" s="93"/>
      <c r="N153" s="200">
        <v>0</v>
      </c>
      <c r="O153" s="47" t="str">
        <f t="shared" si="35"/>
        <v/>
      </c>
      <c r="P153" s="48"/>
      <c r="Q153" s="201"/>
      <c r="R153" s="51">
        <f>Jawaban!R153</f>
        <v>0</v>
      </c>
      <c r="S153" s="51">
        <f>Jawaban!S153</f>
        <v>0</v>
      </c>
      <c r="T153" s="51">
        <f>Jawaban!T153</f>
        <v>0</v>
      </c>
      <c r="U153" s="51">
        <f>Jawaban!U153</f>
        <v>0</v>
      </c>
      <c r="V153" s="51">
        <f>Jawaban!V153</f>
        <v>0</v>
      </c>
    </row>
    <row r="154" ht="15.75" customHeight="1" spans="1:22">
      <c r="A154" s="12">
        <v>156</v>
      </c>
      <c r="B154" s="29"/>
      <c r="C154" s="35"/>
      <c r="D154" s="35"/>
      <c r="E154" s="35"/>
      <c r="F154" s="40"/>
      <c r="G154" s="322" t="s">
        <v>513</v>
      </c>
      <c r="H154" s="42"/>
      <c r="I154" s="41"/>
      <c r="J154" s="59" t="s">
        <v>456</v>
      </c>
      <c r="K154" s="59">
        <f>Jawaban!K154</f>
        <v>0</v>
      </c>
      <c r="L154" s="51">
        <f>Jawaban!L154</f>
        <v>0</v>
      </c>
      <c r="M154" s="93"/>
      <c r="N154" s="200">
        <v>0</v>
      </c>
      <c r="O154" s="47" t="str">
        <f t="shared" si="35"/>
        <v/>
      </c>
      <c r="P154" s="48"/>
      <c r="Q154" s="201"/>
      <c r="R154" s="51">
        <f>Jawaban!R154</f>
        <v>0</v>
      </c>
      <c r="S154" s="51">
        <f>Jawaban!S154</f>
        <v>0</v>
      </c>
      <c r="T154" s="51">
        <f>Jawaban!T154</f>
        <v>0</v>
      </c>
      <c r="U154" s="51">
        <f>Jawaban!U154</f>
        <v>0</v>
      </c>
      <c r="V154" s="51">
        <f>Jawaban!V154</f>
        <v>0</v>
      </c>
    </row>
    <row r="155" ht="15.75" customHeight="1" spans="1:22">
      <c r="A155" s="12">
        <v>157</v>
      </c>
      <c r="B155" s="26"/>
      <c r="C155" s="27"/>
      <c r="D155" s="28" t="s">
        <v>17</v>
      </c>
      <c r="E155" s="29" t="s">
        <v>18</v>
      </c>
      <c r="F155" s="29"/>
      <c r="G155" s="30"/>
      <c r="H155" s="31">
        <v>5</v>
      </c>
      <c r="I155" s="32"/>
      <c r="J155" s="31"/>
      <c r="K155" s="31">
        <f>Jawaban!K155</f>
        <v>0</v>
      </c>
      <c r="L155" s="54">
        <f>Jawaban!L155</f>
        <v>0</v>
      </c>
      <c r="M155" s="100"/>
      <c r="N155" s="31"/>
      <c r="O155" s="31">
        <f>SUM(O156,O160,O162)</f>
        <v>5</v>
      </c>
      <c r="P155" s="33"/>
      <c r="Q155" s="96"/>
      <c r="R155" s="51">
        <f>Jawaban!R155</f>
        <v>0</v>
      </c>
      <c r="S155" s="51">
        <f>Jawaban!S155</f>
        <v>0</v>
      </c>
      <c r="T155" s="51">
        <f>Jawaban!T155</f>
        <v>0</v>
      </c>
      <c r="U155" s="51">
        <f>Jawaban!U155</f>
        <v>0</v>
      </c>
      <c r="V155" s="51">
        <f>Jawaban!V155</f>
        <v>0</v>
      </c>
    </row>
    <row r="156" ht="15.75" customHeight="1" spans="1:22">
      <c r="A156" s="12">
        <v>173</v>
      </c>
      <c r="B156" s="30"/>
      <c r="C156" s="35"/>
      <c r="D156" s="35"/>
      <c r="E156" s="35" t="s">
        <v>52</v>
      </c>
      <c r="F156" s="29" t="s">
        <v>514</v>
      </c>
      <c r="G156" s="30"/>
      <c r="H156" s="36">
        <v>2</v>
      </c>
      <c r="I156" s="37"/>
      <c r="J156" s="36"/>
      <c r="K156" s="36">
        <f>Jawaban!K156</f>
        <v>0</v>
      </c>
      <c r="L156" s="54">
        <f>Jawaban!L156</f>
        <v>0</v>
      </c>
      <c r="M156" s="100"/>
      <c r="N156" s="36"/>
      <c r="O156" s="36">
        <f>AVERAGE(O157:O159)*H156</f>
        <v>2</v>
      </c>
      <c r="P156" s="38">
        <f>O156/H156</f>
        <v>1</v>
      </c>
      <c r="Q156" s="81"/>
      <c r="R156" s="51">
        <f>Jawaban!R156</f>
        <v>0</v>
      </c>
      <c r="S156" s="51">
        <f>Jawaban!S156</f>
        <v>0</v>
      </c>
      <c r="T156" s="51">
        <f>Jawaban!T156</f>
        <v>0</v>
      </c>
      <c r="U156" s="51">
        <f>Jawaban!U156</f>
        <v>0</v>
      </c>
      <c r="V156" s="51">
        <f>Jawaban!V156</f>
        <v>0</v>
      </c>
    </row>
    <row r="157" ht="150.75" customHeight="1" spans="1:22">
      <c r="A157" s="12">
        <v>174</v>
      </c>
      <c r="B157" s="29"/>
      <c r="C157" s="35"/>
      <c r="D157" s="35"/>
      <c r="E157" s="35"/>
      <c r="F157" s="321" t="s">
        <v>34</v>
      </c>
      <c r="G157" s="322" t="s">
        <v>515</v>
      </c>
      <c r="H157" s="42"/>
      <c r="I157" s="41" t="s">
        <v>516</v>
      </c>
      <c r="J157" s="59" t="s">
        <v>452</v>
      </c>
      <c r="K157" s="97">
        <f>Jawaban!K157</f>
        <v>1</v>
      </c>
      <c r="L157" s="51">
        <f>Jawaban!L157</f>
        <v>0</v>
      </c>
      <c r="M157" s="41" t="s">
        <v>517</v>
      </c>
      <c r="N157" s="97">
        <f>N159/N158</f>
        <v>1</v>
      </c>
      <c r="O157" s="47">
        <f t="shared" ref="O157:O159" si="36">IF(J157="Ya/Tidak",IF(N157="Ya",1,IF(N157="Tidak",0,"Blm Diisi")),IF(J157="A/B/C",IF(N157="A",1,IF(N157="B",0.5,IF(N157="C",0,"Blm Diisi"))),IF(J157="A/B/C/D",IF(N157="A",1,IF(N157="B",0.67,IF(N157="C",0.33,IF(N157="D",0,"Blm Diisi")))),IF(J157="A/B/C/D/E",IF(N157="A",1,IF(N157="B",0.75,IF(N157="C",0.5,IF(N157="D",0.25,IF(N157="E",0,"Blm Diisi"))))),IF(J157="%",IF(N157="","Blm Diisi",N157),IF(J157="Jumlah",IF(N157="","Blm Diisi",""),IF(J157="Rupiah",IF(N157="","Blm Diisi",""),IF(J157="","","-"))))))))</f>
        <v>1</v>
      </c>
      <c r="P157" s="48"/>
      <c r="Q157" s="198" t="s">
        <v>593</v>
      </c>
      <c r="R157" s="178" t="str">
        <f>Jawaban!R157</f>
        <v>a. Persentase Sasaran dengan capaian 100% atau lebih. </v>
      </c>
      <c r="S157" s="51">
        <f>Jawaban!S157</f>
        <v>0</v>
      </c>
      <c r="T157" s="51">
        <f>Jawaban!T157</f>
        <v>0</v>
      </c>
      <c r="U157" s="51">
        <f>Jawaban!U157</f>
        <v>0</v>
      </c>
      <c r="V157" s="51">
        <f>Jawaban!V157</f>
        <v>0</v>
      </c>
    </row>
    <row r="158" ht="15.75" customHeight="1" spans="1:22">
      <c r="A158" s="12">
        <v>175</v>
      </c>
      <c r="B158" s="29"/>
      <c r="C158" s="35"/>
      <c r="D158" s="35"/>
      <c r="E158" s="35"/>
      <c r="F158" s="103"/>
      <c r="G158" s="322" t="s">
        <v>519</v>
      </c>
      <c r="H158" s="42"/>
      <c r="I158" s="41"/>
      <c r="J158" s="59" t="s">
        <v>456</v>
      </c>
      <c r="K158" s="59">
        <f>Jawaban!K158</f>
        <v>1</v>
      </c>
      <c r="L158" s="54">
        <f>Jawaban!L158</f>
        <v>0</v>
      </c>
      <c r="M158" s="93"/>
      <c r="N158" s="200">
        <v>1</v>
      </c>
      <c r="O158" s="47" t="str">
        <f t="shared" si="36"/>
        <v/>
      </c>
      <c r="P158" s="48"/>
      <c r="Q158" s="201"/>
      <c r="R158" s="51">
        <f>Jawaban!R158</f>
        <v>0</v>
      </c>
      <c r="S158" s="51">
        <f>Jawaban!S158</f>
        <v>0</v>
      </c>
      <c r="T158" s="51">
        <f>Jawaban!T158</f>
        <v>0</v>
      </c>
      <c r="U158" s="51">
        <f>Jawaban!U158</f>
        <v>0</v>
      </c>
      <c r="V158" s="51">
        <f>Jawaban!V158</f>
        <v>0</v>
      </c>
    </row>
    <row r="159" ht="15.75" customHeight="1" spans="1:22">
      <c r="A159" s="12">
        <v>176</v>
      </c>
      <c r="B159" s="29"/>
      <c r="C159" s="35"/>
      <c r="D159" s="35"/>
      <c r="E159" s="35"/>
      <c r="F159" s="103"/>
      <c r="G159" s="322" t="s">
        <v>520</v>
      </c>
      <c r="H159" s="42"/>
      <c r="I159" s="41"/>
      <c r="J159" s="59" t="s">
        <v>456</v>
      </c>
      <c r="K159" s="59">
        <f>Jawaban!K159</f>
        <v>1</v>
      </c>
      <c r="L159" s="54">
        <f>Jawaban!L159</f>
        <v>0</v>
      </c>
      <c r="M159" s="93"/>
      <c r="N159" s="200">
        <v>1</v>
      </c>
      <c r="O159" s="47" t="str">
        <f t="shared" si="36"/>
        <v/>
      </c>
      <c r="P159" s="48"/>
      <c r="Q159" s="201"/>
      <c r="R159" s="51">
        <f>Jawaban!R159</f>
        <v>0</v>
      </c>
      <c r="S159" s="51">
        <f>Jawaban!S159</f>
        <v>0</v>
      </c>
      <c r="T159" s="51">
        <f>Jawaban!T159</f>
        <v>0</v>
      </c>
      <c r="U159" s="51">
        <f>Jawaban!U159</f>
        <v>0</v>
      </c>
      <c r="V159" s="51">
        <f>Jawaban!V159</f>
        <v>0</v>
      </c>
    </row>
    <row r="160" ht="15.75" customHeight="1" spans="1:22">
      <c r="A160" s="12">
        <v>177</v>
      </c>
      <c r="B160" s="30"/>
      <c r="C160" s="35"/>
      <c r="D160" s="35"/>
      <c r="E160" s="35" t="s">
        <v>68</v>
      </c>
      <c r="F160" s="29" t="s">
        <v>521</v>
      </c>
      <c r="G160" s="30"/>
      <c r="H160" s="36">
        <v>1.5</v>
      </c>
      <c r="I160" s="37"/>
      <c r="J160" s="36"/>
      <c r="K160" s="36">
        <f>Jawaban!K160</f>
        <v>0</v>
      </c>
      <c r="L160" s="54">
        <f>Jawaban!L160</f>
        <v>0</v>
      </c>
      <c r="M160" s="55"/>
      <c r="N160" s="36"/>
      <c r="O160" s="36">
        <f>AVERAGE(O161)*H160</f>
        <v>1.5</v>
      </c>
      <c r="P160" s="38">
        <f>O160/H160</f>
        <v>1</v>
      </c>
      <c r="Q160" s="81"/>
      <c r="R160" s="51">
        <f>Jawaban!R160</f>
        <v>0</v>
      </c>
      <c r="S160" s="51">
        <f>Jawaban!S160</f>
        <v>0</v>
      </c>
      <c r="T160" s="51">
        <f>Jawaban!T160</f>
        <v>0</v>
      </c>
      <c r="U160" s="51">
        <f>Jawaban!U160</f>
        <v>0</v>
      </c>
      <c r="V160" s="51">
        <f>Jawaban!V160</f>
        <v>0</v>
      </c>
    </row>
    <row r="161" ht="330.75" customHeight="1" spans="1:22">
      <c r="A161" s="12">
        <v>178</v>
      </c>
      <c r="B161" s="29"/>
      <c r="C161" s="35"/>
      <c r="D161" s="35"/>
      <c r="E161" s="35"/>
      <c r="F161" s="321" t="s">
        <v>34</v>
      </c>
      <c r="G161" s="322" t="s">
        <v>522</v>
      </c>
      <c r="H161" s="42"/>
      <c r="I161" s="51" t="s">
        <v>523</v>
      </c>
      <c r="J161" s="59" t="s">
        <v>87</v>
      </c>
      <c r="K161" s="44" t="str">
        <f>Jawaban!K161</f>
        <v>A</v>
      </c>
      <c r="L161" s="51">
        <f>Jawaban!L161</f>
        <v>0</v>
      </c>
      <c r="M161" s="51" t="s">
        <v>524</v>
      </c>
      <c r="N161" s="176" t="s">
        <v>65</v>
      </c>
      <c r="O161" s="47">
        <f>IF(J161="Ya/Tidak",IF(N161="Ya",1,IF(N161="Tidak",0,"Blm Diisi")),IF(J161="A/B/C",IF(N161="A",1,IF(N161="B",0.5,IF(N161="C",0,"Blm Diisi"))),IF(J161="A/B/C/D",IF(N161="A",1,IF(N161="B",0.67,IF(N161="C",0.33,IF(N161="D",0,"Blm Diisi")))),IF(J161="A/B/C/D/E",IF(N161="A",1,IF(N161="B",0.75,IF(N161="C",0.5,IF(N161="D",0.25,IF(N161="E",0,"Blm Diisi"))))),IF(J161="%",IF(N161="","Blm Diisi",N161),IF(J161="Jumlah",IF(N161="","Blm Diisi",""),IF(J161="Rupiah",IF(N161="","Blm Diisi",""),IF(J161="","","-"))))))))</f>
        <v>1</v>
      </c>
      <c r="P161" s="48"/>
      <c r="Q161" s="198" t="s">
        <v>593</v>
      </c>
      <c r="R161" s="178" t="str">
        <f>Jawaban!R161</f>
        <v>Hasil Capaian/Monitoring Perjanjian Kinerja telah dijadikan dasar sebagai pemberian reward and punishment bagi organisasi.</v>
      </c>
      <c r="S161" s="51">
        <f>Jawaban!S161</f>
        <v>0</v>
      </c>
      <c r="T161" s="51">
        <f>Jawaban!T161</f>
        <v>0</v>
      </c>
      <c r="U161" s="51">
        <f>Jawaban!U161</f>
        <v>0</v>
      </c>
      <c r="V161" s="51">
        <f>Jawaban!V161</f>
        <v>0</v>
      </c>
    </row>
    <row r="162" ht="15.75" customHeight="1" spans="1:22">
      <c r="A162" s="12">
        <v>179</v>
      </c>
      <c r="B162" s="30"/>
      <c r="C162" s="35"/>
      <c r="D162" s="35"/>
      <c r="E162" s="35" t="s">
        <v>83</v>
      </c>
      <c r="F162" s="29" t="s">
        <v>525</v>
      </c>
      <c r="G162" s="30"/>
      <c r="H162" s="36">
        <v>1.5</v>
      </c>
      <c r="I162" s="37"/>
      <c r="J162" s="36"/>
      <c r="K162" s="36">
        <f>Jawaban!K162</f>
        <v>0</v>
      </c>
      <c r="L162" s="54">
        <f>Jawaban!L162</f>
        <v>0</v>
      </c>
      <c r="M162" s="100"/>
      <c r="N162" s="36"/>
      <c r="O162" s="36">
        <f>AVERAGE(O163)*H162</f>
        <v>1.5</v>
      </c>
      <c r="P162" s="38">
        <f>O162/H162</f>
        <v>1</v>
      </c>
      <c r="Q162" s="81"/>
      <c r="R162" s="51">
        <f>Jawaban!R162</f>
        <v>0</v>
      </c>
      <c r="S162" s="51">
        <f>Jawaban!S162</f>
        <v>0</v>
      </c>
      <c r="T162" s="51">
        <f>Jawaban!T162</f>
        <v>0</v>
      </c>
      <c r="U162" s="51">
        <f>Jawaban!U162</f>
        <v>0</v>
      </c>
      <c r="V162" s="51">
        <f>Jawaban!V162</f>
        <v>0</v>
      </c>
    </row>
    <row r="163" ht="15.75" customHeight="1" spans="1:22">
      <c r="A163" s="12">
        <v>180</v>
      </c>
      <c r="B163" s="29"/>
      <c r="C163" s="35"/>
      <c r="D163" s="35"/>
      <c r="E163" s="35"/>
      <c r="F163" s="321" t="s">
        <v>34</v>
      </c>
      <c r="G163" s="322" t="s">
        <v>526</v>
      </c>
      <c r="H163" s="42"/>
      <c r="I163" s="51" t="s">
        <v>527</v>
      </c>
      <c r="J163" s="59" t="s">
        <v>87</v>
      </c>
      <c r="K163" s="44" t="str">
        <f>Jawaban!K163</f>
        <v>A</v>
      </c>
      <c r="L163" s="51">
        <f>Jawaban!L163</f>
        <v>0</v>
      </c>
      <c r="M163" s="51" t="s">
        <v>528</v>
      </c>
      <c r="N163" s="176" t="s">
        <v>65</v>
      </c>
      <c r="O163" s="47">
        <f>IF(J163="Ya/Tidak",IF(N163="Ya",1,IF(N163="Tidak",0,"Blm Diisi")),IF(J163="A/B/C",IF(N163="A",1,IF(N163="B",0.5,IF(N163="C",0,"Blm Diisi"))),IF(J163="A/B/C/D",IF(N163="A",1,IF(N163="B",0.67,IF(N163="C",0.33,IF(N163="D",0,"Blm Diisi")))),IF(J163="A/B/C/D/E",IF(N163="A",1,IF(N163="B",0.75,IF(N163="C",0.5,IF(N163="D",0.25,IF(N163="E",0,"Blm Diisi"))))),IF(J163="%",IF(N163="","Blm Diisi",N163),IF(J163="Jumlah",IF(N163="","Blm Diisi",""),IF(J163="Rupiah",IF(N163="","Blm Diisi",""),IF(J163="","","-"))))))))</f>
        <v>1</v>
      </c>
      <c r="P163" s="48"/>
      <c r="Q163" s="198" t="s">
        <v>593</v>
      </c>
      <c r="R163" s="178" t="str">
        <f>Jawaban!R163</f>
        <v>Apakah terdapat penjenjangan kinerja ((Kerangka Logis Kinerja) yang mengacu pada kinerja utama  organisasi dan dijadikan dalam penentuan kinerja seluruh pegawai? </v>
      </c>
      <c r="S163" s="51">
        <f>Jawaban!S163</f>
        <v>0</v>
      </c>
      <c r="T163" s="51">
        <f>Jawaban!T163</f>
        <v>0</v>
      </c>
      <c r="U163" s="51">
        <f>Jawaban!U163</f>
        <v>0</v>
      </c>
      <c r="V163" s="51">
        <f>Jawaban!V163</f>
        <v>0</v>
      </c>
    </row>
    <row r="164" ht="15.75" customHeight="1" spans="1:22">
      <c r="A164" s="12">
        <v>182</v>
      </c>
      <c r="B164" s="26"/>
      <c r="C164" s="27"/>
      <c r="D164" s="28" t="s">
        <v>19</v>
      </c>
      <c r="E164" s="29" t="s">
        <v>20</v>
      </c>
      <c r="F164" s="29"/>
      <c r="G164" s="30"/>
      <c r="H164" s="31">
        <v>7.5</v>
      </c>
      <c r="I164" s="32"/>
      <c r="J164" s="31"/>
      <c r="K164" s="31">
        <f>Jawaban!K164</f>
        <v>0</v>
      </c>
      <c r="L164" s="54">
        <f>Jawaban!L164</f>
        <v>0</v>
      </c>
      <c r="M164" s="100"/>
      <c r="N164" s="31"/>
      <c r="O164" s="31">
        <f>SUM(O165,O167,O172)</f>
        <v>7.5</v>
      </c>
      <c r="P164" s="33">
        <f t="shared" ref="P164:P165" si="37">O164/H164</f>
        <v>1</v>
      </c>
      <c r="Q164" s="96"/>
      <c r="R164" s="51">
        <f>Jawaban!R164</f>
        <v>0</v>
      </c>
      <c r="S164" s="51">
        <f>Jawaban!S164</f>
        <v>0</v>
      </c>
      <c r="T164" s="51">
        <f>Jawaban!T164</f>
        <v>0</v>
      </c>
      <c r="U164" s="51">
        <f>Jawaban!U164</f>
        <v>0</v>
      </c>
      <c r="V164" s="51">
        <f>Jawaban!V164</f>
        <v>0</v>
      </c>
    </row>
    <row r="165" ht="15.75" customHeight="1" spans="1:22">
      <c r="A165" s="12">
        <v>184</v>
      </c>
      <c r="B165" s="30"/>
      <c r="C165" s="35"/>
      <c r="D165" s="35"/>
      <c r="E165" s="35" t="s">
        <v>52</v>
      </c>
      <c r="F165" s="29" t="s">
        <v>529</v>
      </c>
      <c r="G165" s="30"/>
      <c r="H165" s="36">
        <v>2.5</v>
      </c>
      <c r="I165" s="104"/>
      <c r="J165" s="36"/>
      <c r="K165" s="36">
        <f>Jawaban!K165</f>
        <v>0</v>
      </c>
      <c r="L165" s="54">
        <f>Jawaban!L165</f>
        <v>0</v>
      </c>
      <c r="M165" s="100"/>
      <c r="N165" s="36"/>
      <c r="O165" s="36">
        <f>AVERAGE(O166)*H165</f>
        <v>2.5</v>
      </c>
      <c r="P165" s="38">
        <f t="shared" si="37"/>
        <v>1</v>
      </c>
      <c r="Q165" s="81"/>
      <c r="R165" s="51">
        <f>Jawaban!R165</f>
        <v>0</v>
      </c>
      <c r="S165" s="51">
        <f>Jawaban!S165</f>
        <v>0</v>
      </c>
      <c r="T165" s="51">
        <f>Jawaban!T165</f>
        <v>0</v>
      </c>
      <c r="U165" s="51">
        <f>Jawaban!U165</f>
        <v>0</v>
      </c>
      <c r="V165" s="51">
        <f>Jawaban!V165</f>
        <v>0</v>
      </c>
    </row>
    <row r="166" ht="15.75" customHeight="1" spans="1:22">
      <c r="A166" s="12"/>
      <c r="B166" s="41"/>
      <c r="C166" s="40"/>
      <c r="D166" s="40"/>
      <c r="E166" s="40"/>
      <c r="F166" s="321" t="s">
        <v>34</v>
      </c>
      <c r="G166" s="51" t="s">
        <v>530</v>
      </c>
      <c r="H166" s="42"/>
      <c r="I166" s="104" t="s">
        <v>531</v>
      </c>
      <c r="J166" s="59" t="s">
        <v>124</v>
      </c>
      <c r="K166" s="44" t="str">
        <f>Jawaban!K166</f>
        <v>A</v>
      </c>
      <c r="L166" s="51">
        <f>Jawaban!L166</f>
        <v>0</v>
      </c>
      <c r="M166" s="104" t="s">
        <v>532</v>
      </c>
      <c r="N166" s="176" t="s">
        <v>65</v>
      </c>
      <c r="O166" s="47">
        <f>IF(J166="Ya/Tidak",IF(N166="Ya",1,IF(N166="Tidak",0,"Blm Diisi")),IF(J166="A/B/C",IF(N166="A",1,IF(N166="B",0.5,IF(N166="C",0,"Blm Diisi"))),IF(J166="A/B/C/D",IF(N166="A",1,IF(N166="B",0.67,IF(N166="C",0.33,IF(N166="D",0,"Blm Diisi")))),IF(J166="A/B/C/D/E",IF(N166="A",1,IF(N166="B",0.75,IF(N166="C",0.5,IF(N166="D",0.25,IF(N166="E",0,"Blm Diisi"))))),IF(J166="%",IF(N166="","Blm Diisi",N166),IF(J166="Jumlah",IF(N166="","Blm Diisi",""),IF(J166="Rupiah",IF(N166="","Blm Diisi",""),IF(J166="","","-"))))))))</f>
        <v>1</v>
      </c>
      <c r="P166" s="105"/>
      <c r="Q166" s="198" t="s">
        <v>593</v>
      </c>
      <c r="R166" s="178" t="str">
        <f>Jawaban!R166</f>
        <v>Telah dilakukan mekanisme pengendalian aktivitas secara berjenjang.</v>
      </c>
      <c r="S166" s="51">
        <f>Jawaban!S166</f>
        <v>0</v>
      </c>
      <c r="T166" s="51">
        <f>Jawaban!T166</f>
        <v>0</v>
      </c>
      <c r="U166" s="51">
        <f>Jawaban!U166</f>
        <v>0</v>
      </c>
      <c r="V166" s="51">
        <f>Jawaban!V166</f>
        <v>0</v>
      </c>
    </row>
    <row r="167" ht="160.5" customHeight="1" spans="1:22">
      <c r="A167" s="12">
        <v>197</v>
      </c>
      <c r="B167" s="30"/>
      <c r="C167" s="35"/>
      <c r="D167" s="35"/>
      <c r="E167" s="35" t="s">
        <v>68</v>
      </c>
      <c r="F167" s="29" t="s">
        <v>533</v>
      </c>
      <c r="G167" s="30"/>
      <c r="H167" s="36">
        <v>3</v>
      </c>
      <c r="I167" s="104"/>
      <c r="J167" s="36" t="s">
        <v>452</v>
      </c>
      <c r="K167" s="36">
        <f>Jawaban!K167</f>
        <v>0</v>
      </c>
      <c r="L167" s="54">
        <f>Jawaban!L167</f>
        <v>0</v>
      </c>
      <c r="M167" s="104" t="s">
        <v>534</v>
      </c>
      <c r="N167" s="36"/>
      <c r="O167" s="36">
        <f>AVERAGE(O168:O171)*H167</f>
        <v>3</v>
      </c>
      <c r="P167" s="38">
        <f>O167/H167</f>
        <v>1</v>
      </c>
      <c r="Q167" s="198" t="s">
        <v>593</v>
      </c>
      <c r="R167" s="178" t="str">
        <f>Jawaban!R167</f>
        <v>B. Penanganan Pengaduan Masyarakat</v>
      </c>
      <c r="S167" s="51">
        <f>Jawaban!S167</f>
        <v>0</v>
      </c>
      <c r="T167" s="51">
        <f>Jawaban!T167</f>
        <v>0</v>
      </c>
      <c r="U167" s="51">
        <f>Jawaban!U167</f>
        <v>0</v>
      </c>
      <c r="V167" s="51">
        <f>Jawaban!V167</f>
        <v>0</v>
      </c>
    </row>
    <row r="168" ht="15.75" customHeight="1" spans="1:22">
      <c r="A168" s="12"/>
      <c r="B168" s="41"/>
      <c r="C168" s="40"/>
      <c r="D168" s="40"/>
      <c r="E168" s="40"/>
      <c r="F168" s="321" t="s">
        <v>34</v>
      </c>
      <c r="G168" s="51" t="s">
        <v>536</v>
      </c>
      <c r="H168" s="42"/>
      <c r="I168" s="104" t="s">
        <v>537</v>
      </c>
      <c r="J168" s="42" t="s">
        <v>452</v>
      </c>
      <c r="K168" s="97">
        <f>Jawaban!K168</f>
        <v>1</v>
      </c>
      <c r="L168" s="51">
        <f>Jawaban!L168</f>
        <v>0</v>
      </c>
      <c r="M168" s="107"/>
      <c r="N168" s="97">
        <f>IF(OR(N169="",N171=""),"#DIV/0!",IF(AND(N169=0,N171=0),"100%",IF(N169&lt;N171,"100%",N171/N169)))</f>
        <v>1</v>
      </c>
      <c r="O168" s="47">
        <f t="shared" ref="O168:O171" si="38">IF(J168="Ya/Tidak",IF(N168="Ya",1,IF(N168="Tidak",0,"Blm Diisi")),IF(J168="A/B/C",IF(N168="A",1,IF(N168="B",0.5,IF(N168="C",0,"Blm Diisi"))),IF(J168="A/B/C/D",IF(N168="A",1,IF(N168="B",0.67,IF(N168="C",0.33,IF(N168="D",0,"Blm Diisi")))),IF(J168="A/B/C/D/E",IF(N168="A",1,IF(N168="B",0.75,IF(N168="C",0.5,IF(N168="D",0.25,IF(N168="E",0,"Blm Diisi"))))),IF(J168="%",IF(N168="","Blm Diisi",N168),IF(J168="Jumlah",IF(N168="","Blm Diisi",""),IF(J168="Rupiah",IF(N168="","Blm Diisi",""),IF(J168="","","-"))))))))</f>
        <v>1</v>
      </c>
      <c r="P168" s="105"/>
      <c r="Q168" s="202"/>
      <c r="R168" s="51">
        <f>Jawaban!R168</f>
        <v>0</v>
      </c>
      <c r="S168" s="51">
        <f>Jawaban!S168</f>
        <v>0</v>
      </c>
      <c r="T168" s="51">
        <f>Jawaban!T168</f>
        <v>0</v>
      </c>
      <c r="U168" s="51">
        <f>Jawaban!U168</f>
        <v>0</v>
      </c>
      <c r="V168" s="51">
        <f>Jawaban!V168</f>
        <v>0</v>
      </c>
    </row>
    <row r="169" ht="15.75" customHeight="1" spans="1:22">
      <c r="A169" s="12">
        <v>199</v>
      </c>
      <c r="B169" s="29"/>
      <c r="C169" s="35"/>
      <c r="D169" s="35"/>
      <c r="E169" s="35"/>
      <c r="F169" s="40"/>
      <c r="G169" s="322" t="s">
        <v>538</v>
      </c>
      <c r="H169" s="42"/>
      <c r="I169" s="41"/>
      <c r="J169" s="59" t="s">
        <v>456</v>
      </c>
      <c r="K169" s="59">
        <f>Jawaban!K169</f>
        <v>1</v>
      </c>
      <c r="L169" s="54">
        <f>Jawaban!L169</f>
        <v>0</v>
      </c>
      <c r="M169" s="93"/>
      <c r="N169" s="200">
        <v>1</v>
      </c>
      <c r="O169" s="47" t="str">
        <f t="shared" si="38"/>
        <v/>
      </c>
      <c r="P169" s="48"/>
      <c r="Q169" s="201"/>
      <c r="R169" s="51">
        <f>Jawaban!R169</f>
        <v>0</v>
      </c>
      <c r="S169" s="51">
        <f>Jawaban!S169</f>
        <v>0</v>
      </c>
      <c r="T169" s="51">
        <f>Jawaban!T169</f>
        <v>0</v>
      </c>
      <c r="U169" s="51">
        <f>Jawaban!U169</f>
        <v>0</v>
      </c>
      <c r="V169" s="51">
        <f>Jawaban!V169</f>
        <v>0</v>
      </c>
    </row>
    <row r="170" ht="15.75" customHeight="1" spans="1:22">
      <c r="A170" s="12">
        <v>200</v>
      </c>
      <c r="B170" s="29"/>
      <c r="C170" s="35"/>
      <c r="D170" s="35"/>
      <c r="E170" s="35"/>
      <c r="F170" s="40"/>
      <c r="G170" s="322" t="s">
        <v>539</v>
      </c>
      <c r="H170" s="42"/>
      <c r="I170" s="41"/>
      <c r="J170" s="59" t="s">
        <v>456</v>
      </c>
      <c r="K170" s="59">
        <f>Jawaban!K170</f>
        <v>1</v>
      </c>
      <c r="L170" s="54">
        <f>Jawaban!L170</f>
        <v>0</v>
      </c>
      <c r="M170" s="93"/>
      <c r="N170" s="200">
        <v>1</v>
      </c>
      <c r="O170" s="47" t="str">
        <f t="shared" si="38"/>
        <v/>
      </c>
      <c r="P170" s="48"/>
      <c r="Q170" s="201"/>
      <c r="R170" s="51">
        <f>Jawaban!R170</f>
        <v>0</v>
      </c>
      <c r="S170" s="51">
        <f>Jawaban!S170</f>
        <v>0</v>
      </c>
      <c r="T170" s="51">
        <f>Jawaban!T170</f>
        <v>0</v>
      </c>
      <c r="U170" s="51">
        <f>Jawaban!U170</f>
        <v>0</v>
      </c>
      <c r="V170" s="51">
        <f>Jawaban!V170</f>
        <v>0</v>
      </c>
    </row>
    <row r="171" ht="15.75" customHeight="1" spans="1:22">
      <c r="A171" s="12">
        <v>201</v>
      </c>
      <c r="B171" s="29"/>
      <c r="C171" s="35"/>
      <c r="D171" s="35"/>
      <c r="E171" s="35"/>
      <c r="F171" s="40"/>
      <c r="G171" s="322" t="s">
        <v>540</v>
      </c>
      <c r="H171" s="42"/>
      <c r="I171" s="41"/>
      <c r="J171" s="59" t="s">
        <v>456</v>
      </c>
      <c r="K171" s="59">
        <f>Jawaban!K171</f>
        <v>1</v>
      </c>
      <c r="L171" s="54">
        <f>Jawaban!L171</f>
        <v>0</v>
      </c>
      <c r="N171" s="200">
        <v>1</v>
      </c>
      <c r="O171" s="47" t="str">
        <f t="shared" si="38"/>
        <v/>
      </c>
      <c r="P171" s="48"/>
      <c r="Q171" s="201"/>
      <c r="R171" s="51">
        <f>Jawaban!R171</f>
        <v>0</v>
      </c>
      <c r="S171" s="51">
        <f>Jawaban!S171</f>
        <v>0</v>
      </c>
      <c r="T171" s="51">
        <f>Jawaban!T171</f>
        <v>0</v>
      </c>
      <c r="U171" s="51">
        <f>Jawaban!U171</f>
        <v>0</v>
      </c>
      <c r="V171" s="51">
        <f>Jawaban!V171</f>
        <v>0</v>
      </c>
    </row>
    <row r="172" ht="180" customHeight="1" spans="1:22">
      <c r="A172" s="12">
        <v>197</v>
      </c>
      <c r="B172" s="30"/>
      <c r="C172" s="35"/>
      <c r="D172" s="35"/>
      <c r="E172" s="35" t="s">
        <v>83</v>
      </c>
      <c r="F172" s="29" t="s">
        <v>541</v>
      </c>
      <c r="G172" s="30"/>
      <c r="H172" s="36">
        <v>2</v>
      </c>
      <c r="I172" s="104" t="s">
        <v>542</v>
      </c>
      <c r="J172" s="36" t="s">
        <v>452</v>
      </c>
      <c r="K172" s="36">
        <f>Jawaban!K172</f>
        <v>0</v>
      </c>
      <c r="L172" s="54">
        <f>Jawaban!L172</f>
        <v>0</v>
      </c>
      <c r="M172" s="109" t="s">
        <v>543</v>
      </c>
      <c r="N172" s="36"/>
      <c r="O172" s="36">
        <f>AVERAGE(O173:O180)*H172</f>
        <v>2</v>
      </c>
      <c r="P172" s="38">
        <f>O172/H172</f>
        <v>1</v>
      </c>
      <c r="Q172" s="198" t="s">
        <v>593</v>
      </c>
      <c r="R172" s="50" t="s">
        <v>555</v>
      </c>
      <c r="S172" s="51">
        <f>Jawaban!S172</f>
        <v>0</v>
      </c>
      <c r="T172" s="51">
        <f>Jawaban!T172</f>
        <v>0</v>
      </c>
      <c r="U172" s="51">
        <f>Jawaban!U172</f>
        <v>0</v>
      </c>
      <c r="V172" s="51">
        <f>Jawaban!V172</f>
        <v>0</v>
      </c>
    </row>
    <row r="173" ht="15.75" customHeight="1" spans="1:22">
      <c r="A173" s="110">
        <v>359</v>
      </c>
      <c r="B173" s="111"/>
      <c r="C173" s="112"/>
      <c r="D173" s="112"/>
      <c r="E173" s="112" t="s">
        <v>54</v>
      </c>
      <c r="F173" s="113" t="s">
        <v>544</v>
      </c>
      <c r="G173" s="7"/>
      <c r="H173" s="114">
        <v>1</v>
      </c>
      <c r="I173" s="115"/>
      <c r="J173" s="114"/>
      <c r="K173" s="114">
        <f>Jawaban!K173</f>
        <v>0</v>
      </c>
      <c r="L173" s="54">
        <f>Jawaban!L173</f>
        <v>0</v>
      </c>
      <c r="M173" s="55"/>
      <c r="N173" s="114"/>
      <c r="O173" s="114">
        <f>AVERAGE(O174:O179)*H173</f>
        <v>1</v>
      </c>
      <c r="P173" s="114"/>
      <c r="Q173" s="116"/>
      <c r="R173" s="51">
        <f>Jawaban!R173</f>
        <v>0</v>
      </c>
      <c r="S173" s="51">
        <f>Jawaban!S173</f>
        <v>0</v>
      </c>
      <c r="T173" s="51">
        <f>Jawaban!T173</f>
        <v>0</v>
      </c>
      <c r="U173" s="51">
        <f>Jawaban!U173</f>
        <v>0</v>
      </c>
      <c r="V173" s="51">
        <f>Jawaban!V173</f>
        <v>0</v>
      </c>
    </row>
    <row r="174" ht="132" customHeight="1" spans="1:22">
      <c r="A174" s="110">
        <v>360</v>
      </c>
      <c r="B174" s="117"/>
      <c r="C174" s="118"/>
      <c r="D174" s="118"/>
      <c r="E174" s="118"/>
      <c r="F174" s="323" t="s">
        <v>34</v>
      </c>
      <c r="G174" s="120" t="s">
        <v>545</v>
      </c>
      <c r="H174" s="121"/>
      <c r="I174" s="122"/>
      <c r="J174" s="121" t="s">
        <v>452</v>
      </c>
      <c r="K174" s="123">
        <f>Jawaban!K174</f>
        <v>1</v>
      </c>
      <c r="L174" s="54">
        <f>Jawaban!L174</f>
        <v>0</v>
      </c>
      <c r="M174" s="122" t="s">
        <v>546</v>
      </c>
      <c r="N174" s="123">
        <f>N179/N175</f>
        <v>1</v>
      </c>
      <c r="O174" s="114">
        <f t="shared" ref="O174:O179" si="39">IF(J174="Ya/Tidak",IF(N174="Ya",1,IF(N174="Tidak",0,"Blm Diisi")),IF(J174="A/B/C",IF(N174="A",1,IF(N174="B",0.5,IF(N174="C",0,"Blm Diisi"))),IF(J174="A/B/C/D",IF(N174="A",1,IF(N174="B",0.67,IF(N174="C",0.33,IF(N174="D",0,"Blm Diisi")))),IF(J174="A/B/C/D/E",IF(N174="A",1,IF(N174="B",0.75,IF(N174="C",0.5,IF(N174="D",0.25,IF(N174="E",0,"Blm Diisi"))))),IF(J174="%",IF(N174="","Blm Diisi",N174),IF(J174="Jumlah",IF(N174="","Blm Diisi",""),IF(J174="Rupiah",IF(N174="","Blm Diisi",""),IF(J174="","","-"))))))))</f>
        <v>1</v>
      </c>
      <c r="P174" s="114"/>
      <c r="Q174" s="198" t="s">
        <v>593</v>
      </c>
      <c r="R174" s="178" t="str">
        <f>Jawaban!R174</f>
        <v>a. Penyampaian Laporan Harta Kekayaan Pejabat Negara (LHKPN)	</v>
      </c>
      <c r="S174" s="51">
        <f>Jawaban!S174</f>
        <v>0</v>
      </c>
      <c r="T174" s="51">
        <f>Jawaban!T174</f>
        <v>0</v>
      </c>
      <c r="U174" s="51">
        <f>Jawaban!U174</f>
        <v>0</v>
      </c>
      <c r="V174" s="51">
        <f>Jawaban!V174</f>
        <v>0</v>
      </c>
    </row>
    <row r="175" ht="15.75" customHeight="1" spans="1:22">
      <c r="A175" s="110">
        <v>361</v>
      </c>
      <c r="B175" s="117"/>
      <c r="C175" s="118"/>
      <c r="D175" s="118"/>
      <c r="E175" s="118"/>
      <c r="F175" s="125" t="s">
        <v>34</v>
      </c>
      <c r="G175" s="120" t="s">
        <v>548</v>
      </c>
      <c r="H175" s="121"/>
      <c r="I175" s="122"/>
      <c r="J175" s="121" t="s">
        <v>456</v>
      </c>
      <c r="K175" s="121">
        <f>Jawaban!K175</f>
        <v>3</v>
      </c>
      <c r="L175" s="54">
        <f>Jawaban!L175</f>
        <v>0</v>
      </c>
      <c r="M175" s="55"/>
      <c r="N175" s="203">
        <f>SUM(N176:N178)</f>
        <v>3</v>
      </c>
      <c r="O175" s="114" t="str">
        <f t="shared" si="39"/>
        <v/>
      </c>
      <c r="P175" s="114"/>
      <c r="Q175" s="204"/>
      <c r="R175" s="51">
        <f>Jawaban!R175</f>
        <v>0</v>
      </c>
      <c r="S175" s="51">
        <f>Jawaban!S175</f>
        <v>0</v>
      </c>
      <c r="T175" s="51">
        <f>Jawaban!T175</f>
        <v>0</v>
      </c>
      <c r="U175" s="51">
        <f>Jawaban!U175</f>
        <v>0</v>
      </c>
      <c r="V175" s="51">
        <f>Jawaban!V175</f>
        <v>0</v>
      </c>
    </row>
    <row r="176" ht="15.75" customHeight="1" spans="1:22">
      <c r="A176" s="110">
        <v>362</v>
      </c>
      <c r="B176" s="117"/>
      <c r="C176" s="118"/>
      <c r="D176" s="118"/>
      <c r="E176" s="118"/>
      <c r="F176" s="119"/>
      <c r="G176" s="324" t="s">
        <v>549</v>
      </c>
      <c r="H176" s="121"/>
      <c r="I176" s="122"/>
      <c r="J176" s="121" t="s">
        <v>456</v>
      </c>
      <c r="K176" s="121">
        <f>Jawaban!K176</f>
        <v>1</v>
      </c>
      <c r="L176" s="54">
        <f>Jawaban!L176</f>
        <v>0</v>
      </c>
      <c r="M176" s="55"/>
      <c r="N176" s="203">
        <v>1</v>
      </c>
      <c r="O176" s="114" t="str">
        <f t="shared" si="39"/>
        <v/>
      </c>
      <c r="P176" s="114"/>
      <c r="Q176" s="204"/>
      <c r="R176" s="51">
        <f>Jawaban!R176</f>
        <v>0</v>
      </c>
      <c r="S176" s="51">
        <f>Jawaban!S176</f>
        <v>0</v>
      </c>
      <c r="T176" s="51">
        <f>Jawaban!T176</f>
        <v>0</v>
      </c>
      <c r="U176" s="51">
        <f>Jawaban!U176</f>
        <v>0</v>
      </c>
      <c r="V176" s="51">
        <f>Jawaban!V176</f>
        <v>0</v>
      </c>
    </row>
    <row r="177" ht="15.75" customHeight="1" spans="1:22">
      <c r="A177" s="110">
        <v>363</v>
      </c>
      <c r="B177" s="117"/>
      <c r="C177" s="118"/>
      <c r="D177" s="118"/>
      <c r="E177" s="118"/>
      <c r="F177" s="119"/>
      <c r="G177" s="324" t="s">
        <v>550</v>
      </c>
      <c r="H177" s="121"/>
      <c r="I177" s="122"/>
      <c r="J177" s="121" t="s">
        <v>456</v>
      </c>
      <c r="K177" s="121">
        <f>Jawaban!K177</f>
        <v>1</v>
      </c>
      <c r="L177" s="54">
        <f>Jawaban!L177</f>
        <v>0</v>
      </c>
      <c r="M177" s="55"/>
      <c r="N177" s="203">
        <v>1</v>
      </c>
      <c r="O177" s="114" t="str">
        <f t="shared" si="39"/>
        <v/>
      </c>
      <c r="P177" s="114"/>
      <c r="Q177" s="204"/>
      <c r="R177" s="51">
        <f>Jawaban!R177</f>
        <v>0</v>
      </c>
      <c r="S177" s="51">
        <f>Jawaban!S177</f>
        <v>0</v>
      </c>
      <c r="T177" s="51">
        <f>Jawaban!T177</f>
        <v>0</v>
      </c>
      <c r="U177" s="51">
        <f>Jawaban!U177</f>
        <v>0</v>
      </c>
      <c r="V177" s="51">
        <f>Jawaban!V177</f>
        <v>0</v>
      </c>
    </row>
    <row r="178" ht="15.75" customHeight="1" spans="1:22">
      <c r="A178" s="110">
        <v>364</v>
      </c>
      <c r="B178" s="117"/>
      <c r="C178" s="118"/>
      <c r="D178" s="118"/>
      <c r="E178" s="118"/>
      <c r="F178" s="125"/>
      <c r="G178" s="324" t="s">
        <v>551</v>
      </c>
      <c r="H178" s="121"/>
      <c r="I178" s="122"/>
      <c r="J178" s="121" t="s">
        <v>456</v>
      </c>
      <c r="K178" s="121">
        <f>Jawaban!K178</f>
        <v>1</v>
      </c>
      <c r="L178" s="54">
        <f>Jawaban!L178</f>
        <v>0</v>
      </c>
      <c r="M178" s="55"/>
      <c r="N178" s="203">
        <v>1</v>
      </c>
      <c r="O178" s="114" t="str">
        <f t="shared" si="39"/>
        <v/>
      </c>
      <c r="P178" s="114"/>
      <c r="Q178" s="204"/>
      <c r="R178" s="51">
        <f>Jawaban!R178</f>
        <v>0</v>
      </c>
      <c r="S178" s="51">
        <f>Jawaban!S178</f>
        <v>0</v>
      </c>
      <c r="T178" s="51">
        <f>Jawaban!T178</f>
        <v>0</v>
      </c>
      <c r="U178" s="51">
        <f>Jawaban!U178</f>
        <v>0</v>
      </c>
      <c r="V178" s="51">
        <f>Jawaban!V178</f>
        <v>0</v>
      </c>
    </row>
    <row r="179" ht="15.75" customHeight="1" spans="1:22">
      <c r="A179" s="110">
        <v>365</v>
      </c>
      <c r="B179" s="117"/>
      <c r="C179" s="118"/>
      <c r="D179" s="118"/>
      <c r="E179" s="118"/>
      <c r="F179" s="325" t="s">
        <v>34</v>
      </c>
      <c r="G179" s="120" t="s">
        <v>552</v>
      </c>
      <c r="H179" s="121"/>
      <c r="I179" s="122"/>
      <c r="J179" s="121" t="s">
        <v>456</v>
      </c>
      <c r="K179" s="121">
        <f>Jawaban!K179</f>
        <v>3</v>
      </c>
      <c r="L179" s="54">
        <f>Jawaban!L179</f>
        <v>0</v>
      </c>
      <c r="M179" s="55"/>
      <c r="N179" s="203">
        <v>3</v>
      </c>
      <c r="O179" s="114" t="str">
        <f t="shared" si="39"/>
        <v/>
      </c>
      <c r="P179" s="114"/>
      <c r="Q179" s="204"/>
      <c r="R179" s="51">
        <f>Jawaban!R179</f>
        <v>0</v>
      </c>
      <c r="S179" s="51">
        <f>Jawaban!S179</f>
        <v>0</v>
      </c>
      <c r="T179" s="51">
        <f>Jawaban!T179</f>
        <v>0</v>
      </c>
      <c r="U179" s="51">
        <f>Jawaban!U179</f>
        <v>0</v>
      </c>
      <c r="V179" s="51">
        <f>Jawaban!V179</f>
        <v>0</v>
      </c>
    </row>
    <row r="180" ht="133.5" customHeight="1" spans="1:22">
      <c r="A180" s="110">
        <v>366</v>
      </c>
      <c r="B180" s="111"/>
      <c r="C180" s="112"/>
      <c r="D180" s="112"/>
      <c r="E180" s="112" t="s">
        <v>61</v>
      </c>
      <c r="F180" s="113" t="s">
        <v>553</v>
      </c>
      <c r="G180" s="128"/>
      <c r="H180" s="121">
        <v>1</v>
      </c>
      <c r="I180" s="122"/>
      <c r="J180" s="121"/>
      <c r="K180" s="121">
        <f>Jawaban!K180</f>
        <v>0</v>
      </c>
      <c r="L180" s="54">
        <f>Jawaban!L180</f>
        <v>0</v>
      </c>
      <c r="M180" s="122" t="s">
        <v>554</v>
      </c>
      <c r="N180" s="121"/>
      <c r="O180" s="114">
        <f>AVERAGE(O181:O186)*H180</f>
        <v>1</v>
      </c>
      <c r="P180" s="114"/>
      <c r="Q180" s="198" t="s">
        <v>593</v>
      </c>
      <c r="R180" s="50" t="str">
        <f>Jawaban!R180</f>
        <v>b. Penyampaian Laporan Harta Kekayaan Non LHKPN (Tidak Wajib LHKPN)</v>
      </c>
      <c r="S180" s="51">
        <f>Jawaban!S180</f>
        <v>0</v>
      </c>
      <c r="T180" s="51">
        <f>Jawaban!T180</f>
        <v>0</v>
      </c>
      <c r="U180" s="51">
        <f>Jawaban!U180</f>
        <v>0</v>
      </c>
      <c r="V180" s="51">
        <f>Jawaban!V180</f>
        <v>0</v>
      </c>
    </row>
    <row r="181" ht="15.75" customHeight="1" spans="1:22">
      <c r="A181" s="110">
        <v>367</v>
      </c>
      <c r="B181" s="117"/>
      <c r="C181" s="118"/>
      <c r="D181" s="118"/>
      <c r="E181" s="118"/>
      <c r="F181" s="323" t="s">
        <v>34</v>
      </c>
      <c r="G181" s="120" t="s">
        <v>556</v>
      </c>
      <c r="H181" s="121"/>
      <c r="I181" s="122"/>
      <c r="J181" s="121" t="s">
        <v>452</v>
      </c>
      <c r="K181" s="123">
        <f>Jawaban!K181</f>
        <v>1</v>
      </c>
      <c r="L181" s="54">
        <f>Jawaban!L181</f>
        <v>0</v>
      </c>
      <c r="M181" s="129"/>
      <c r="N181" s="123">
        <f>N186/N182</f>
        <v>1</v>
      </c>
      <c r="O181" s="114">
        <f t="shared" ref="O181:O186" si="40">IF(J181="Ya/Tidak",IF(N181="Ya",1,IF(N181="Tidak",0,"Blm Diisi")),IF(J181="A/B/C",IF(N181="A",1,IF(N181="B",0.5,IF(N181="C",0,"Blm Diisi"))),IF(J181="A/B/C/D",IF(N181="A",1,IF(N181="B",0.67,IF(N181="C",0.33,IF(N181="D",0,"Blm Diisi")))),IF(J181="A/B/C/D/E",IF(N181="A",1,IF(N181="B",0.75,IF(N181="C",0.5,IF(N181="D",0.25,IF(N181="E",0,"Blm Diisi"))))),IF(J181="%",IF(N181="","Blm Diisi",N181),IF(J181="Jumlah",IF(N181="","Blm Diisi",""),IF(J181="Rupiah",IF(N181="","Blm Diisi",""),IF(J181="","","-"))))))))</f>
        <v>1</v>
      </c>
      <c r="P181" s="114"/>
      <c r="Q181" s="124"/>
      <c r="R181" s="51">
        <f>Jawaban!R181</f>
        <v>0</v>
      </c>
      <c r="S181" s="51">
        <f>Jawaban!S181</f>
        <v>0</v>
      </c>
      <c r="T181" s="51">
        <f>Jawaban!T181</f>
        <v>0</v>
      </c>
      <c r="U181" s="51">
        <f>Jawaban!U181</f>
        <v>0</v>
      </c>
      <c r="V181" s="51">
        <f>Jawaban!V181</f>
        <v>0</v>
      </c>
    </row>
    <row r="182" ht="15.75" customHeight="1" spans="1:22">
      <c r="A182" s="110">
        <v>368</v>
      </c>
      <c r="B182" s="117"/>
      <c r="C182" s="118"/>
      <c r="D182" s="118"/>
      <c r="E182" s="118"/>
      <c r="F182" s="125" t="s">
        <v>34</v>
      </c>
      <c r="G182" s="120" t="s">
        <v>557</v>
      </c>
      <c r="H182" s="121"/>
      <c r="I182" s="122"/>
      <c r="J182" s="121" t="s">
        <v>456</v>
      </c>
      <c r="K182" s="121">
        <f>Jawaban!K182</f>
        <v>3</v>
      </c>
      <c r="L182" s="54">
        <f>Jawaban!L182</f>
        <v>0</v>
      </c>
      <c r="M182" s="100"/>
      <c r="N182" s="203">
        <v>3</v>
      </c>
      <c r="O182" s="114" t="str">
        <f t="shared" si="40"/>
        <v/>
      </c>
      <c r="P182" s="114"/>
      <c r="Q182" s="205"/>
      <c r="R182" s="51">
        <f>Jawaban!R182</f>
        <v>0</v>
      </c>
      <c r="S182" s="51">
        <f>Jawaban!S182</f>
        <v>0</v>
      </c>
      <c r="T182" s="51">
        <f>Jawaban!T182</f>
        <v>0</v>
      </c>
      <c r="U182" s="51">
        <f>Jawaban!U182</f>
        <v>0</v>
      </c>
      <c r="V182" s="51">
        <f>Jawaban!V182</f>
        <v>0</v>
      </c>
    </row>
    <row r="183" ht="15.75" customHeight="1" spans="1:22">
      <c r="A183" s="110">
        <v>369</v>
      </c>
      <c r="B183" s="117"/>
      <c r="C183" s="118"/>
      <c r="D183" s="118"/>
      <c r="E183" s="118"/>
      <c r="F183" s="119"/>
      <c r="G183" s="324" t="s">
        <v>558</v>
      </c>
      <c r="H183" s="121"/>
      <c r="I183" s="122"/>
      <c r="J183" s="121" t="s">
        <v>456</v>
      </c>
      <c r="K183" s="121">
        <f>Jawaban!K183</f>
        <v>1</v>
      </c>
      <c r="L183" s="54">
        <f>Jawaban!L183</f>
        <v>0</v>
      </c>
      <c r="M183" s="100"/>
      <c r="N183" s="203">
        <v>1</v>
      </c>
      <c r="O183" s="114" t="str">
        <f t="shared" si="40"/>
        <v/>
      </c>
      <c r="P183" s="114"/>
      <c r="Q183" s="205"/>
      <c r="R183" s="51">
        <f>Jawaban!R183</f>
        <v>0</v>
      </c>
      <c r="S183" s="51">
        <f>Jawaban!S183</f>
        <v>0</v>
      </c>
      <c r="T183" s="51">
        <f>Jawaban!T183</f>
        <v>0</v>
      </c>
      <c r="U183" s="51">
        <f>Jawaban!U183</f>
        <v>0</v>
      </c>
      <c r="V183" s="51">
        <f>Jawaban!V183</f>
        <v>0</v>
      </c>
    </row>
    <row r="184" ht="15.75" customHeight="1" spans="1:22">
      <c r="A184" s="110">
        <v>370</v>
      </c>
      <c r="B184" s="117"/>
      <c r="C184" s="118"/>
      <c r="D184" s="118"/>
      <c r="E184" s="118"/>
      <c r="F184" s="119"/>
      <c r="G184" s="324" t="s">
        <v>559</v>
      </c>
      <c r="H184" s="121"/>
      <c r="I184" s="122"/>
      <c r="J184" s="121" t="s">
        <v>456</v>
      </c>
      <c r="K184" s="121">
        <f>Jawaban!K184</f>
        <v>1</v>
      </c>
      <c r="L184" s="54">
        <f>Jawaban!L184</f>
        <v>0</v>
      </c>
      <c r="M184" s="55"/>
      <c r="N184" s="203">
        <v>1</v>
      </c>
      <c r="O184" s="114" t="str">
        <f t="shared" si="40"/>
        <v/>
      </c>
      <c r="P184" s="114"/>
      <c r="Q184" s="204"/>
      <c r="R184" s="51">
        <f>Jawaban!R184</f>
        <v>0</v>
      </c>
      <c r="S184" s="51">
        <f>Jawaban!S184</f>
        <v>0</v>
      </c>
      <c r="T184" s="51">
        <f>Jawaban!T184</f>
        <v>0</v>
      </c>
      <c r="U184" s="51">
        <f>Jawaban!U184</f>
        <v>0</v>
      </c>
      <c r="V184" s="51">
        <f>Jawaban!V184</f>
        <v>0</v>
      </c>
    </row>
    <row r="185" ht="15.75" customHeight="1" spans="1:22">
      <c r="A185" s="110">
        <v>371</v>
      </c>
      <c r="B185" s="117"/>
      <c r="C185" s="118"/>
      <c r="D185" s="118"/>
      <c r="E185" s="118"/>
      <c r="F185" s="125"/>
      <c r="G185" s="324" t="s">
        <v>560</v>
      </c>
      <c r="H185" s="121"/>
      <c r="I185" s="122"/>
      <c r="J185" s="121" t="s">
        <v>456</v>
      </c>
      <c r="K185" s="121">
        <f>Jawaban!K185</f>
        <v>1</v>
      </c>
      <c r="L185" s="54">
        <f>Jawaban!L185</f>
        <v>0</v>
      </c>
      <c r="M185" s="55"/>
      <c r="N185" s="203">
        <v>1</v>
      </c>
      <c r="O185" s="114" t="str">
        <f t="shared" si="40"/>
        <v/>
      </c>
      <c r="P185" s="114"/>
      <c r="Q185" s="204"/>
      <c r="R185" s="51">
        <f>Jawaban!R185</f>
        <v>0</v>
      </c>
      <c r="S185" s="51">
        <f>Jawaban!S185</f>
        <v>0</v>
      </c>
      <c r="T185" s="51">
        <f>Jawaban!T185</f>
        <v>0</v>
      </c>
      <c r="U185" s="51">
        <f>Jawaban!U185</f>
        <v>0</v>
      </c>
      <c r="V185" s="51">
        <f>Jawaban!V185</f>
        <v>0</v>
      </c>
    </row>
    <row r="186" ht="15.75" customHeight="1" spans="1:22">
      <c r="A186" s="110">
        <v>372</v>
      </c>
      <c r="B186" s="117"/>
      <c r="C186" s="118"/>
      <c r="D186" s="118"/>
      <c r="E186" s="118"/>
      <c r="F186" s="325" t="s">
        <v>34</v>
      </c>
      <c r="G186" s="120" t="s">
        <v>552</v>
      </c>
      <c r="H186" s="121"/>
      <c r="I186" s="122"/>
      <c r="J186" s="121" t="s">
        <v>456</v>
      </c>
      <c r="K186" s="121">
        <f>Jawaban!K186</f>
        <v>3</v>
      </c>
      <c r="L186" s="54">
        <f>Jawaban!L186</f>
        <v>0</v>
      </c>
      <c r="M186" s="55"/>
      <c r="N186" s="203">
        <v>3</v>
      </c>
      <c r="O186" s="114" t="str">
        <f t="shared" si="40"/>
        <v/>
      </c>
      <c r="P186" s="114"/>
      <c r="Q186" s="204"/>
      <c r="R186" s="51">
        <f>Jawaban!R186</f>
        <v>0</v>
      </c>
      <c r="S186" s="51">
        <f>Jawaban!S186</f>
        <v>0</v>
      </c>
      <c r="T186" s="51">
        <f>Jawaban!T186</f>
        <v>0</v>
      </c>
      <c r="U186" s="51">
        <f>Jawaban!U186</f>
        <v>0</v>
      </c>
      <c r="V186" s="51">
        <f>Jawaban!V186</f>
        <v>0</v>
      </c>
    </row>
    <row r="187" ht="15.75" customHeight="1" spans="1:22">
      <c r="A187" s="12">
        <v>203</v>
      </c>
      <c r="B187" s="26"/>
      <c r="C187" s="27"/>
      <c r="D187" s="28" t="s">
        <v>21</v>
      </c>
      <c r="E187" s="29" t="s">
        <v>22</v>
      </c>
      <c r="F187" s="29"/>
      <c r="G187" s="30"/>
      <c r="H187" s="31">
        <v>5</v>
      </c>
      <c r="I187" s="32"/>
      <c r="J187" s="31"/>
      <c r="K187" s="31">
        <f>Jawaban!K187</f>
        <v>0</v>
      </c>
      <c r="L187" s="54">
        <f>Jawaban!L187</f>
        <v>0</v>
      </c>
      <c r="M187" s="55"/>
      <c r="N187" s="31"/>
      <c r="O187" s="31">
        <f>SUM(O188,O193)</f>
        <v>5</v>
      </c>
      <c r="P187" s="33">
        <f t="shared" ref="P187:P188" si="41">O187/H187</f>
        <v>1</v>
      </c>
      <c r="Q187" s="96"/>
      <c r="R187" s="51">
        <f>Jawaban!R187</f>
        <v>0</v>
      </c>
      <c r="S187" s="51">
        <f>Jawaban!S187</f>
        <v>0</v>
      </c>
      <c r="T187" s="51">
        <f>Jawaban!T187</f>
        <v>0</v>
      </c>
      <c r="U187" s="51">
        <f>Jawaban!U187</f>
        <v>0</v>
      </c>
      <c r="V187" s="51">
        <f>Jawaban!V187</f>
        <v>0</v>
      </c>
    </row>
    <row r="188" ht="15.75" customHeight="1" spans="1:22">
      <c r="A188" s="12">
        <v>204</v>
      </c>
      <c r="B188" s="30"/>
      <c r="C188" s="35"/>
      <c r="D188" s="35"/>
      <c r="E188" s="326" t="s">
        <v>52</v>
      </c>
      <c r="F188" s="29" t="s">
        <v>561</v>
      </c>
      <c r="G188" s="30"/>
      <c r="H188" s="36">
        <v>2.5</v>
      </c>
      <c r="I188" s="37"/>
      <c r="J188" s="36"/>
      <c r="K188" s="36">
        <f>Jawaban!K188</f>
        <v>0</v>
      </c>
      <c r="L188" s="54">
        <f>Jawaban!L188</f>
        <v>0</v>
      </c>
      <c r="M188" s="55"/>
      <c r="N188" s="36"/>
      <c r="O188" s="36">
        <f>AVERAGE(O189:O192)*H188</f>
        <v>2.5</v>
      </c>
      <c r="P188" s="38">
        <f t="shared" si="41"/>
        <v>1</v>
      </c>
      <c r="Q188" s="81"/>
      <c r="R188" s="51">
        <f>Jawaban!R188</f>
        <v>0</v>
      </c>
      <c r="S188" s="51">
        <f>Jawaban!S188</f>
        <v>0</v>
      </c>
      <c r="T188" s="51">
        <f>Jawaban!T188</f>
        <v>0</v>
      </c>
      <c r="U188" s="51">
        <f>Jawaban!U188</f>
        <v>0</v>
      </c>
      <c r="V188" s="51">
        <f>Jawaban!V188</f>
        <v>0</v>
      </c>
    </row>
    <row r="189" ht="346.5" customHeight="1" spans="1:22">
      <c r="A189" s="12">
        <v>205</v>
      </c>
      <c r="B189" s="29"/>
      <c r="C189" s="35"/>
      <c r="D189" s="35"/>
      <c r="E189" s="35"/>
      <c r="F189" s="321" t="s">
        <v>54</v>
      </c>
      <c r="G189" s="41" t="s">
        <v>562</v>
      </c>
      <c r="H189" s="42"/>
      <c r="I189" s="51" t="s">
        <v>563</v>
      </c>
      <c r="J189" s="59" t="s">
        <v>87</v>
      </c>
      <c r="K189" s="44" t="str">
        <f>Jawaban!K189</f>
        <v>A</v>
      </c>
      <c r="L189" s="51">
        <f>Jawaban!L189</f>
        <v>0</v>
      </c>
      <c r="M189" s="51" t="s">
        <v>564</v>
      </c>
      <c r="N189" s="176" t="s">
        <v>65</v>
      </c>
      <c r="O189" s="47">
        <f t="shared" ref="O189:O192" si="42">IF(J189="Ya/Tidak",IF(N189="Ya",1,IF(N189="Tidak",0,"Blm Diisi")),IF(J189="A/B/C",IF(N189="A",1,IF(N189="B",0.5,IF(N189="C",0,"Blm Diisi"))),IF(J189="A/B/C/D",IF(N189="A",1,IF(N189="B",0.67,IF(N189="C",0.33,IF(N189="D",0,"Blm Diisi")))),IF(J189="A/B/C/D/E",IF(N189="A",1,IF(N189="B",0.75,IF(N189="C",0.5,IF(N189="D",0.25,IF(N189="E",0,"Blm Diisi"))))),IF(J189="%",IF(N189="","Blm Diisi",N189),IF(J189="Jumlah",IF(N189="","Blm Diisi",""),IF(J189="Rupiah",IF(N189="","Blm Diisi",""),IF(J189="","","-"))))))))</f>
        <v>1</v>
      </c>
      <c r="P189" s="48"/>
      <c r="Q189" s="198" t="s">
        <v>593</v>
      </c>
      <c r="R189" s="178" t="str">
        <f>Jawaban!R189</f>
        <v>a. "Upaya dan/atau inovasi telah mendorong perbaikan pelayanan publik pada: 1. Kesesuaian Persyaratan; 2. Kemudahan Sistem, Mekanisme, dan Prosedur; 3. Kecepatan Waktu Penyelesaian; 4. Kejelasan Biaya/Tarif, Gratis; 5. Kualitas Produk Spesifikasi Jenis Pelayanan; 6. Kompetensi Pelaksana/Web; 7. Perilaku Pelaksana/Web; 8. Kualitas Sarana dan prasarana; 9. Penanganan Pengaduan, Saran dan Masukan."</v>
      </c>
      <c r="S189" s="51">
        <f>Jawaban!S189</f>
        <v>0</v>
      </c>
      <c r="T189" s="51">
        <f>Jawaban!T189</f>
        <v>0</v>
      </c>
      <c r="U189" s="51">
        <f>Jawaban!U189</f>
        <v>0</v>
      </c>
      <c r="V189" s="51">
        <f>Jawaban!V189</f>
        <v>0</v>
      </c>
    </row>
    <row r="190" ht="346.5" customHeight="1" spans="1:22">
      <c r="A190" s="12">
        <v>206</v>
      </c>
      <c r="B190" s="29"/>
      <c r="C190" s="35"/>
      <c r="D190" s="35"/>
      <c r="E190" s="35"/>
      <c r="F190" s="321" t="s">
        <v>61</v>
      </c>
      <c r="G190" s="322" t="s">
        <v>566</v>
      </c>
      <c r="H190" s="42"/>
      <c r="I190" s="41" t="s">
        <v>567</v>
      </c>
      <c r="J190" s="59" t="s">
        <v>452</v>
      </c>
      <c r="K190" s="97">
        <f>Jawaban!K190</f>
        <v>1</v>
      </c>
      <c r="L190" s="54">
        <f>Jawaban!L190</f>
        <v>0</v>
      </c>
      <c r="M190" s="41" t="s">
        <v>568</v>
      </c>
      <c r="N190" s="97">
        <f>N192/N191</f>
        <v>1</v>
      </c>
      <c r="O190" s="47">
        <f t="shared" si="42"/>
        <v>1</v>
      </c>
      <c r="P190" s="48"/>
      <c r="Q190" s="198" t="s">
        <v>593</v>
      </c>
      <c r="R190" s="178" t="str">
        <f>Jawaban!R190</f>
        <v>b. "Upaya dan/atau inovasi pada perijinan/pelayanan telah dipermudah: 1. Waktu lebih cepat; 2. Pelayanan Publik yang terpadu; 3. Alur lebih pendek/singkat; 4 Terintegrasi dengan aplikasi."</v>
      </c>
      <c r="S190" s="51">
        <f>Jawaban!S190</f>
        <v>0</v>
      </c>
      <c r="T190" s="51">
        <f>Jawaban!T190</f>
        <v>0</v>
      </c>
      <c r="U190" s="51">
        <f>Jawaban!U190</f>
        <v>0</v>
      </c>
      <c r="V190" s="51">
        <f>Jawaban!V190</f>
        <v>0</v>
      </c>
    </row>
    <row r="191" ht="15.75" customHeight="1" spans="1:22">
      <c r="A191" s="12">
        <v>207</v>
      </c>
      <c r="B191" s="29"/>
      <c r="C191" s="35"/>
      <c r="D191" s="35"/>
      <c r="E191" s="35"/>
      <c r="F191" s="40"/>
      <c r="G191" s="322" t="s">
        <v>570</v>
      </c>
      <c r="H191" s="42"/>
      <c r="I191" s="41"/>
      <c r="J191" s="59" t="s">
        <v>456</v>
      </c>
      <c r="K191" s="59">
        <f>Jawaban!K191</f>
        <v>1</v>
      </c>
      <c r="L191" s="51">
        <f>Jawaban!L191</f>
        <v>0</v>
      </c>
      <c r="M191" s="58"/>
      <c r="N191" s="200">
        <v>1</v>
      </c>
      <c r="O191" s="47" t="str">
        <f t="shared" si="42"/>
        <v/>
      </c>
      <c r="P191" s="48"/>
      <c r="Q191" s="201"/>
      <c r="R191" s="51">
        <f>Jawaban!R191</f>
        <v>0</v>
      </c>
      <c r="S191" s="51">
        <f>Jawaban!S191</f>
        <v>0</v>
      </c>
      <c r="T191" s="51">
        <f>Jawaban!T191</f>
        <v>0</v>
      </c>
      <c r="U191" s="51">
        <f>Jawaban!U191</f>
        <v>0</v>
      </c>
      <c r="V191" s="51">
        <f>Jawaban!V191</f>
        <v>0</v>
      </c>
    </row>
    <row r="192" ht="15.75" customHeight="1" spans="1:22">
      <c r="A192" s="12">
        <v>208</v>
      </c>
      <c r="B192" s="29"/>
      <c r="C192" s="35"/>
      <c r="D192" s="35"/>
      <c r="E192" s="35"/>
      <c r="F192" s="40"/>
      <c r="G192" s="322" t="s">
        <v>571</v>
      </c>
      <c r="H192" s="42"/>
      <c r="I192" s="41"/>
      <c r="J192" s="59" t="s">
        <v>456</v>
      </c>
      <c r="K192" s="59">
        <f>Jawaban!K192</f>
        <v>1</v>
      </c>
      <c r="L192" s="51">
        <f>Jawaban!L192</f>
        <v>0</v>
      </c>
      <c r="M192" s="58"/>
      <c r="N192" s="200">
        <v>1</v>
      </c>
      <c r="O192" s="47" t="str">
        <f t="shared" si="42"/>
        <v/>
      </c>
      <c r="P192" s="48"/>
      <c r="Q192" s="201"/>
      <c r="R192" s="51">
        <f>Jawaban!R192</f>
        <v>0</v>
      </c>
      <c r="S192" s="51">
        <f>Jawaban!S192</f>
        <v>0</v>
      </c>
      <c r="T192" s="51">
        <f>Jawaban!T192</f>
        <v>0</v>
      </c>
      <c r="U192" s="51">
        <f>Jawaban!U192</f>
        <v>0</v>
      </c>
      <c r="V192" s="51">
        <f>Jawaban!V192</f>
        <v>0</v>
      </c>
    </row>
    <row r="193" ht="15.75" customHeight="1" spans="1:22">
      <c r="A193" s="12">
        <v>209</v>
      </c>
      <c r="B193" s="30"/>
      <c r="C193" s="35"/>
      <c r="D193" s="35"/>
      <c r="E193" s="326" t="s">
        <v>68</v>
      </c>
      <c r="F193" s="131" t="s">
        <v>572</v>
      </c>
      <c r="G193" s="132"/>
      <c r="H193" s="36">
        <v>2.5</v>
      </c>
      <c r="I193" s="37"/>
      <c r="J193" s="36"/>
      <c r="K193" s="36">
        <f>Jawaban!K193</f>
        <v>0</v>
      </c>
      <c r="L193" s="54">
        <f>Jawaban!L193</f>
        <v>0</v>
      </c>
      <c r="M193" s="100"/>
      <c r="N193" s="36"/>
      <c r="O193" s="36">
        <f>AVERAGE(O194)*H193</f>
        <v>2.5</v>
      </c>
      <c r="P193" s="38">
        <f>O193/H193</f>
        <v>1</v>
      </c>
      <c r="Q193" s="81"/>
      <c r="R193" s="51">
        <f>Jawaban!R193</f>
        <v>0</v>
      </c>
      <c r="S193" s="51">
        <f>Jawaban!S193</f>
        <v>0</v>
      </c>
      <c r="T193" s="51">
        <f>Jawaban!T193</f>
        <v>0</v>
      </c>
      <c r="U193" s="51">
        <f>Jawaban!U193</f>
        <v>0</v>
      </c>
      <c r="V193" s="51">
        <f>Jawaban!V193</f>
        <v>0</v>
      </c>
    </row>
    <row r="194" ht="15.75" customHeight="1" spans="1:22">
      <c r="A194" s="12">
        <v>210</v>
      </c>
      <c r="B194" s="29"/>
      <c r="C194" s="35"/>
      <c r="D194" s="35"/>
      <c r="E194" s="35"/>
      <c r="F194" s="321" t="s">
        <v>34</v>
      </c>
      <c r="G194" s="322" t="s">
        <v>573</v>
      </c>
      <c r="H194" s="42"/>
      <c r="I194" s="51" t="s">
        <v>574</v>
      </c>
      <c r="J194" s="59" t="s">
        <v>87</v>
      </c>
      <c r="K194" s="44" t="str">
        <f>Jawaban!K194</f>
        <v>A</v>
      </c>
      <c r="L194" s="51">
        <f>Jawaban!L194</f>
        <v>0</v>
      </c>
      <c r="M194" s="51" t="s">
        <v>575</v>
      </c>
      <c r="N194" s="176" t="s">
        <v>65</v>
      </c>
      <c r="O194" s="133">
        <f>IF(J194="Ya/Tidak",IF(N194="Ya",1,IF(N194="Tidak",0,"Blm Diisi")),IF(J194="A/B/C",IF(N194="A",1,IF(N194="B",0.5,IF(N194="C",0,"Blm Diisi"))),IF(J194="A/B/C/D",IF(N194="A",1,IF(N194="B",0.67,IF(N194="C",0.33,IF(N194="D",0,"Blm Diisi")))),IF(J194="A/B/C/D/E",IF(N194="A",1,IF(N194="B",0.75,IF(N194="C",0.5,IF(N194="D",0.25,IF(N194="E",0,"Blm Diisi"))))),IF(J194="%",IF(N194="","Blm Diisi",N194),IF(J194="Jumlah",IF(N194="","Blm Diisi",""),IF(J194="Rupiah",IF(N194="","Blm Diisi",""),IF(J194="","","-"))))))))</f>
        <v>1</v>
      </c>
      <c r="P194" s="48"/>
      <c r="Q194" s="198" t="s">
        <v>593</v>
      </c>
      <c r="R194" s="178" t="str">
        <f>Jawaban!R194</f>
        <v>Penanganan pengaduan pelayanan dilakukan melalui berbagai kanal/media secara responsif dan bertanggung jawab.</v>
      </c>
      <c r="S194" s="51">
        <f>Jawaban!S194</f>
        <v>0</v>
      </c>
      <c r="T194" s="51">
        <f>Jawaban!T194</f>
        <v>0</v>
      </c>
      <c r="U194" s="51">
        <f>Jawaban!U194</f>
        <v>0</v>
      </c>
      <c r="V194" s="51">
        <f>Jawaban!V194</f>
        <v>0</v>
      </c>
    </row>
    <row r="195" ht="15.75" customHeight="1" spans="1:22">
      <c r="A195" s="12">
        <v>211</v>
      </c>
      <c r="B195" s="14" t="s">
        <v>23</v>
      </c>
      <c r="C195" s="14"/>
      <c r="D195" s="14"/>
      <c r="E195" s="14"/>
      <c r="F195" s="14"/>
      <c r="G195" s="15"/>
      <c r="H195" s="15"/>
      <c r="I195" s="15"/>
      <c r="J195" s="16"/>
      <c r="K195" s="16">
        <f>Jawaban!K195</f>
        <v>0</v>
      </c>
      <c r="L195" s="54">
        <f>Jawaban!L195</f>
        <v>0</v>
      </c>
      <c r="M195" s="55"/>
      <c r="N195" s="16"/>
      <c r="O195" s="16">
        <f>SUM(O122,O3)</f>
        <v>60</v>
      </c>
      <c r="P195" s="18"/>
      <c r="Q195" s="134"/>
      <c r="R195" s="51">
        <f>Jawaban!R195</f>
        <v>0</v>
      </c>
      <c r="S195" s="51">
        <f>Jawaban!S195</f>
        <v>0</v>
      </c>
      <c r="T195" s="51">
        <f>Jawaban!T195</f>
        <v>0</v>
      </c>
      <c r="U195" s="51">
        <f>Jawaban!U195</f>
        <v>0</v>
      </c>
      <c r="V195" s="51">
        <f>Jawaban!V195</f>
        <v>0</v>
      </c>
    </row>
    <row r="196" ht="15.75" customHeight="1" spans="1:22">
      <c r="A196" s="12">
        <v>212</v>
      </c>
      <c r="B196" s="135"/>
      <c r="C196" s="136"/>
      <c r="D196" s="136"/>
      <c r="E196" s="12"/>
      <c r="F196" s="12"/>
      <c r="G196" s="137"/>
      <c r="H196" s="138"/>
      <c r="I196" s="12"/>
      <c r="J196" s="139"/>
      <c r="K196" s="139">
        <f>Jawaban!K196</f>
        <v>0</v>
      </c>
      <c r="L196" s="54">
        <f>Jawaban!L196</f>
        <v>0</v>
      </c>
      <c r="M196" s="93"/>
      <c r="N196" s="139"/>
      <c r="O196" s="139"/>
      <c r="P196" s="140"/>
      <c r="Q196" s="141"/>
      <c r="R196" s="51">
        <f>Jawaban!R196</f>
        <v>0</v>
      </c>
      <c r="S196" s="51">
        <f>Jawaban!S196</f>
        <v>0</v>
      </c>
      <c r="T196" s="51">
        <f>Jawaban!T196</f>
        <v>0</v>
      </c>
      <c r="U196" s="51">
        <f>Jawaban!U196</f>
        <v>0</v>
      </c>
      <c r="V196" s="51">
        <f>Jawaban!V196</f>
        <v>0</v>
      </c>
    </row>
    <row r="197" ht="15.75" customHeight="1" spans="1:22">
      <c r="A197" s="12">
        <v>214</v>
      </c>
      <c r="B197" s="13" t="s">
        <v>24</v>
      </c>
      <c r="C197" s="14" t="s">
        <v>25</v>
      </c>
      <c r="D197" s="14"/>
      <c r="E197" s="14"/>
      <c r="F197" s="14"/>
      <c r="G197" s="15"/>
      <c r="H197" s="22">
        <v>40</v>
      </c>
      <c r="I197" s="15"/>
      <c r="J197" s="16"/>
      <c r="K197" s="16">
        <f>Jawaban!K197</f>
        <v>0</v>
      </c>
      <c r="L197" s="54">
        <f>Jawaban!L197</f>
        <v>0</v>
      </c>
      <c r="M197" s="55"/>
      <c r="N197" s="16"/>
      <c r="O197" s="16">
        <f>O203</f>
        <v>40</v>
      </c>
      <c r="P197" s="18">
        <f t="shared" ref="P197:P198" si="43">O197/H197</f>
        <v>1</v>
      </c>
      <c r="Q197" s="134"/>
      <c r="R197" s="51">
        <f>Jawaban!R197</f>
        <v>0</v>
      </c>
      <c r="S197" s="51">
        <f>Jawaban!S197</f>
        <v>0</v>
      </c>
      <c r="T197" s="51">
        <f>Jawaban!T197</f>
        <v>0</v>
      </c>
      <c r="U197" s="51">
        <f>Jawaban!U197</f>
        <v>0</v>
      </c>
      <c r="V197" s="51">
        <f>Jawaban!V197</f>
        <v>0</v>
      </c>
    </row>
    <row r="198" ht="15.75" customHeight="1" spans="1:22">
      <c r="A198" s="12">
        <v>215</v>
      </c>
      <c r="B198" s="20"/>
      <c r="C198" s="21" t="s">
        <v>26</v>
      </c>
      <c r="D198" s="14" t="s">
        <v>27</v>
      </c>
      <c r="E198" s="14"/>
      <c r="F198" s="14"/>
      <c r="G198" s="15"/>
      <c r="H198" s="22">
        <v>22.5</v>
      </c>
      <c r="I198" s="23"/>
      <c r="J198" s="22"/>
      <c r="K198" s="22">
        <f>Jawaban!K198</f>
        <v>0</v>
      </c>
      <c r="L198" s="54">
        <f>Jawaban!L198</f>
        <v>0</v>
      </c>
      <c r="M198" s="55"/>
      <c r="N198" s="22"/>
      <c r="O198" s="22">
        <f>SUM(O199,O200)</f>
        <v>22.5</v>
      </c>
      <c r="P198" s="24">
        <f t="shared" si="43"/>
        <v>1</v>
      </c>
      <c r="Q198" s="142"/>
      <c r="R198" s="51">
        <f>Jawaban!R198</f>
        <v>0</v>
      </c>
      <c r="S198" s="51">
        <f>Jawaban!S198</f>
        <v>0</v>
      </c>
      <c r="T198" s="51">
        <f>Jawaban!T198</f>
        <v>0</v>
      </c>
      <c r="U198" s="51">
        <f>Jawaban!U198</f>
        <v>0</v>
      </c>
      <c r="V198" s="51">
        <f>Jawaban!V198</f>
        <v>0</v>
      </c>
    </row>
    <row r="199" ht="15.75" customHeight="1" spans="1:22">
      <c r="A199" s="12">
        <v>216</v>
      </c>
      <c r="B199" s="143"/>
      <c r="C199" s="144"/>
      <c r="D199" s="327" t="s">
        <v>28</v>
      </c>
      <c r="E199" s="86" t="s">
        <v>576</v>
      </c>
      <c r="F199" s="86"/>
      <c r="G199" s="41"/>
      <c r="H199" s="121">
        <v>17.5</v>
      </c>
      <c r="I199" s="122" t="s">
        <v>577</v>
      </c>
      <c r="J199" s="121" t="s">
        <v>578</v>
      </c>
      <c r="K199" s="121">
        <f>Jawaban!K199</f>
        <v>4</v>
      </c>
      <c r="L199" s="51">
        <f>Jawaban!L199</f>
        <v>0</v>
      </c>
      <c r="M199" s="122" t="s">
        <v>579</v>
      </c>
      <c r="N199" s="203">
        <v>4</v>
      </c>
      <c r="O199" s="121">
        <f>IF(N199="","Blm Diisi",N199/4)*H199</f>
        <v>17.5</v>
      </c>
      <c r="P199" s="123"/>
      <c r="Q199" s="198" t="s">
        <v>593</v>
      </c>
      <c r="R199" s="178" t="str">
        <f>Jawaban!R199</f>
        <v>a. Nilai Survey Persepsi Korupsi (Survei Eksternal).</v>
      </c>
      <c r="S199" s="51">
        <f>Jawaban!S199</f>
        <v>0</v>
      </c>
      <c r="T199" s="51">
        <f>Jawaban!T199</f>
        <v>0</v>
      </c>
      <c r="U199" s="51">
        <f>Jawaban!U199</f>
        <v>0</v>
      </c>
      <c r="V199" s="51">
        <f>Jawaban!V199</f>
        <v>0</v>
      </c>
    </row>
    <row r="200" ht="241.5" customHeight="1" spans="1:22">
      <c r="A200" s="12">
        <v>217</v>
      </c>
      <c r="B200" s="143"/>
      <c r="C200" s="144"/>
      <c r="D200" s="327" t="s">
        <v>30</v>
      </c>
      <c r="E200" s="86" t="s">
        <v>581</v>
      </c>
      <c r="F200" s="86"/>
      <c r="G200" s="41"/>
      <c r="H200" s="121">
        <v>5</v>
      </c>
      <c r="I200" s="122" t="s">
        <v>582</v>
      </c>
      <c r="J200" s="59" t="s">
        <v>124</v>
      </c>
      <c r="K200" s="44" t="str">
        <f>Jawaban!K200</f>
        <v>A</v>
      </c>
      <c r="L200" s="51">
        <f>Jawaban!L200</f>
        <v>0</v>
      </c>
      <c r="M200" s="122" t="s">
        <v>583</v>
      </c>
      <c r="N200" s="176" t="s">
        <v>65</v>
      </c>
      <c r="O200" s="121">
        <f>IF(J200="Ya/Tidak",IF(N200="Ya",1,IF(N200="Tidak",0,"Blm Diisi")),IF(J200="A/B/C",IF(N200="A",1,IF(N200="B",0.5,IF(N200="C",0,"Blm Diisi"))),IF(J200="A/B/C/D",IF(N200="A",1,IF(N200="B",0.67,IF(N200="C",0.33,IF(N200="D",0,"Blm Diisi")))),IF(J200="A/B/C/D/E",IF(N200="A",1,IF(N200="B",0.75,IF(N200="C",0.5,IF(N200="D",0.25,IF(N200="E",0,"Blm Diisi"))))),IF(J200="%",IF(N200="","Blm Diisi",N200),IF(J200="Jumlah",IF(N200="","Blm Diisi",""),IF(J200="Rupiah",IF(N200="","Blm Diisi",""),IF(J200="","","-"))))))))*H200</f>
        <v>5</v>
      </c>
      <c r="P200" s="123"/>
      <c r="Q200" s="198" t="s">
        <v>593</v>
      </c>
      <c r="R200" s="178" t="str">
        <f>Jawaban!R200</f>
        <v>b. Capaian Kinerja Lebih Baik dari pada Capaian Kinerja Sebelumnya.</v>
      </c>
      <c r="S200" s="51">
        <f>Jawaban!S200</f>
        <v>0</v>
      </c>
      <c r="T200" s="51">
        <f>Jawaban!T200</f>
        <v>0</v>
      </c>
      <c r="U200" s="51">
        <f>Jawaban!U200</f>
        <v>0</v>
      </c>
      <c r="V200" s="51">
        <f>Jawaban!V200</f>
        <v>0</v>
      </c>
    </row>
    <row r="201" ht="15.75" customHeight="1" spans="1:22">
      <c r="A201" s="12">
        <v>218</v>
      </c>
      <c r="B201" s="20"/>
      <c r="C201" s="21" t="s">
        <v>32</v>
      </c>
      <c r="D201" s="14" t="s">
        <v>33</v>
      </c>
      <c r="E201" s="14"/>
      <c r="F201" s="14"/>
      <c r="G201" s="15"/>
      <c r="H201" s="22">
        <v>17.5</v>
      </c>
      <c r="I201" s="23"/>
      <c r="J201" s="22"/>
      <c r="K201" s="22">
        <f>Jawaban!K201</f>
        <v>0</v>
      </c>
      <c r="L201" s="54">
        <f>Jawaban!L201</f>
        <v>0</v>
      </c>
      <c r="M201" s="100"/>
      <c r="N201" s="22"/>
      <c r="O201" s="22">
        <f>SUM(O202)</f>
        <v>17.5</v>
      </c>
      <c r="P201" s="24">
        <f>O201/H201</f>
        <v>1</v>
      </c>
      <c r="Q201" s="142"/>
      <c r="R201" s="51">
        <f>Jawaban!R201</f>
        <v>0</v>
      </c>
      <c r="S201" s="51">
        <f>Jawaban!S201</f>
        <v>0</v>
      </c>
      <c r="T201" s="51">
        <f>Jawaban!T201</f>
        <v>0</v>
      </c>
      <c r="U201" s="51">
        <f>Jawaban!U201</f>
        <v>0</v>
      </c>
      <c r="V201" s="51">
        <f>Jawaban!V201</f>
        <v>0</v>
      </c>
    </row>
    <row r="202" ht="15.75" customHeight="1" spans="1:22">
      <c r="A202" s="12">
        <v>219</v>
      </c>
      <c r="B202" s="147"/>
      <c r="C202" s="148"/>
      <c r="D202" s="328" t="s">
        <v>34</v>
      </c>
      <c r="E202" s="150" t="s">
        <v>585</v>
      </c>
      <c r="F202" s="150"/>
      <c r="G202" s="151"/>
      <c r="H202" s="152">
        <v>17.5</v>
      </c>
      <c r="I202" s="153" t="s">
        <v>586</v>
      </c>
      <c r="J202" s="152" t="s">
        <v>578</v>
      </c>
      <c r="K202" s="152">
        <f>Jawaban!K202</f>
        <v>4</v>
      </c>
      <c r="L202" s="51">
        <f>Jawaban!L202</f>
        <v>0</v>
      </c>
      <c r="M202" s="153" t="s">
        <v>587</v>
      </c>
      <c r="N202" s="206">
        <v>4</v>
      </c>
      <c r="O202" s="152">
        <f>IF(N202="","Blm Diisi",N202/4)*H202</f>
        <v>17.5</v>
      </c>
      <c r="P202" s="155"/>
      <c r="Q202" s="198" t="s">
        <v>593</v>
      </c>
      <c r="R202" s="178" t="str">
        <f>Jawaban!R202</f>
        <v>Nilai Persepsi Kualitas Pelayanan (Survei Eksternal).</v>
      </c>
      <c r="S202" s="51">
        <f>Jawaban!S202</f>
        <v>0</v>
      </c>
      <c r="T202" s="51">
        <f>Jawaban!T202</f>
        <v>0</v>
      </c>
      <c r="U202" s="51">
        <f>Jawaban!U202</f>
        <v>0</v>
      </c>
      <c r="V202" s="51">
        <f>Jawaban!V202</f>
        <v>0</v>
      </c>
    </row>
    <row r="203" ht="15.75" customHeight="1" spans="1:22">
      <c r="A203" s="12">
        <v>221</v>
      </c>
      <c r="B203" s="157" t="s">
        <v>36</v>
      </c>
      <c r="C203" s="7"/>
      <c r="D203" s="7"/>
      <c r="E203" s="7"/>
      <c r="F203" s="7"/>
      <c r="G203" s="8"/>
      <c r="H203" s="13"/>
      <c r="I203" s="13"/>
      <c r="J203" s="16"/>
      <c r="K203" s="16"/>
      <c r="L203" s="158"/>
      <c r="M203" s="16"/>
      <c r="N203" s="16"/>
      <c r="O203" s="16">
        <f>SUM(O198,O201)</f>
        <v>40</v>
      </c>
      <c r="P203" s="18"/>
      <c r="Q203" s="134"/>
      <c r="R203" s="134"/>
      <c r="S203" s="19"/>
      <c r="T203" s="19"/>
      <c r="U203" s="19"/>
      <c r="V203" s="19"/>
    </row>
    <row r="204" ht="15.75" customHeight="1" spans="1:22">
      <c r="A204" s="159">
        <v>223</v>
      </c>
      <c r="B204" s="160" t="s">
        <v>599</v>
      </c>
      <c r="C204" s="161"/>
      <c r="D204" s="161"/>
      <c r="E204" s="161"/>
      <c r="F204" s="161"/>
      <c r="G204" s="162"/>
      <c r="H204" s="163"/>
      <c r="I204" s="163"/>
      <c r="J204" s="163"/>
      <c r="K204" s="163"/>
      <c r="L204" s="163"/>
      <c r="M204" s="163"/>
      <c r="N204" s="163"/>
      <c r="O204" s="164">
        <f>SUM(O195,O203)</f>
        <v>100</v>
      </c>
      <c r="P204" s="165"/>
      <c r="Q204" s="166"/>
      <c r="R204" s="167" t="s">
        <v>589</v>
      </c>
      <c r="S204" s="168"/>
      <c r="T204" s="167"/>
      <c r="U204" s="167"/>
      <c r="V204" s="167"/>
    </row>
    <row r="205" ht="15.75" customHeight="1" spans="1:22">
      <c r="A205" s="12"/>
      <c r="B205" s="169"/>
      <c r="C205" s="169"/>
      <c r="D205" s="169"/>
      <c r="E205" s="169"/>
      <c r="F205" s="169"/>
      <c r="G205" s="170"/>
      <c r="H205" s="171"/>
      <c r="I205" s="171"/>
      <c r="J205" s="171"/>
      <c r="K205" s="171"/>
      <c r="L205" s="171"/>
      <c r="M205" s="171"/>
      <c r="N205" s="171"/>
      <c r="O205" s="172"/>
      <c r="P205" s="173"/>
      <c r="Q205" s="174"/>
      <c r="R205" s="175"/>
      <c r="S205" s="175"/>
      <c r="T205" s="175"/>
      <c r="U205" s="175"/>
      <c r="V205" s="175"/>
    </row>
  </sheetData>
  <mergeCells count="3">
    <mergeCell ref="B1:G1"/>
    <mergeCell ref="F173:G173"/>
    <mergeCell ref="B203:G203"/>
  </mergeCells>
  <dataValidations count="6">
    <dataValidation type="list" allowBlank="1" showErrorMessage="1" sqref="K6 N6 K9 N9 K17 N17 K36 N36 K38 N38 K40 N40 K42 N42 K44 N44 K54 N54 K69 N69 K71 N71 K84 N84 K102 N102 K120 N120 K65:K67 N65:N67">
      <formula1>"Ya,Tidak"</formula1>
    </dataValidation>
    <dataValidation type="list" allowBlank="1" showErrorMessage="1" sqref="K7 N7 K49 N49 K58 N58 K70 N70 K72 N72 K75 N75 K83 N83 K116 N116 K121 N121 K147 N147 K149 N149 K10:K11 K18:K19 K27:K30 K32:K33 K61:K62 K80:K81 K85:K86 K88:K90 K95:K96 K112:K113 K139:K140 N10:N11 N18:N19 N27:N30 N32:N33 N61:N62 N80:N81 N85:N86 N88:N90 N95:N96 N112:N113 N139:N140">
      <formula1>"A,B,C"</formula1>
    </dataValidation>
    <dataValidation type="list" allowBlank="1" showErrorMessage="1" sqref="K20 N20 K23 N23 K37 N37 K56 N56 K63 N63 K68 N68 K76 N76 K117 N117 K119 N119 K134 N134 K137 N137 K161 N161 K163 N163 K189 N189 K194 N194 K13:K15 K45:K48 K51:K52 K92:K94 K100:K101 K105:K108 N13:N15 N45:N48 N51:N52 N92:N94 N100:N101 N105:N108">
      <formula1>"A,B,C,D"</formula1>
    </dataValidation>
    <dataValidation type="list" allowBlank="1" showErrorMessage="1" sqref="K41 N41 K53 N53 K99 N99 K104 N104 K109 N109 K111 N111 K115 N115 K132 N132 K166 N166 K200 N200 K24:K25 K78:K79 K142:K144 N24:N25 N78:N79 N142:N144">
      <formula1>"A,B,C,D,E"</formula1>
    </dataValidation>
    <dataValidation type="decimal" operator="greaterThanOrEqual" allowBlank="1" showErrorMessage="1" sqref="K87 N87 K91 N91 K103 N103 K110 N110 K114 N114 K133 N133 K138 N138 K141 N141 K148 N148 K150 N150 K167 N167 K97:K98 K122:K124 K126:K127 K129:K131 K135:K136 K145:K146 K152:K156 K158:K159 K169:K172 K191:K192 N97:N98 N122:N124 N126:N127 N129:N131 N135:N136 N145:N146 N152:N156 N158:N159 N169:N172 N191:N192">
      <formula1>0</formula1>
    </dataValidation>
    <dataValidation type="decimal" operator="between" allowBlank="1" showErrorMessage="1" sqref="K199 N199 K201:K202 N201:N202">
      <formula1>0</formula1>
      <formula2>4</formula2>
    </dataValidation>
  </dataValidations>
  <hyperlinks>
    <hyperlink ref="R172" r:id="rId1" display="b. Penyampaian Laporan Harta Kekayaan Non LHKPN (Tidak Wajib LHKPN)"/>
  </hyperlinks>
  <pageMargins left="0.708661417322835" right="0.708661417322835" top="0.748031496062992" bottom="0.748031496062992" header="0" footer="0"/>
  <pageSetup paperSize="5" fitToHeight="0"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70C0"/>
    <pageSetUpPr fitToPage="1"/>
  </sheetPr>
  <dimension ref="A1:V205"/>
  <sheetViews>
    <sheetView workbookViewId="0">
      <pane ySplit="1" topLeftCell="A2" activePane="bottomLeft" state="frozen"/>
      <selection/>
      <selection pane="bottomLeft" activeCell="B3" sqref="B3"/>
    </sheetView>
  </sheetViews>
  <sheetFormatPr defaultColWidth="14.4285714285714" defaultRowHeight="15" customHeight="1"/>
  <cols>
    <col min="1" max="1" width="6.14285714285714" hidden="1" customWidth="1"/>
    <col min="2" max="2" width="4.57142857142857" customWidth="1"/>
    <col min="3" max="3" width="5.42857142857143" customWidth="1"/>
    <col min="4" max="4" width="3.42857142857143" customWidth="1"/>
    <col min="5" max="5" width="4.42857142857143" customWidth="1"/>
    <col min="6" max="6" width="3.42857142857143" customWidth="1"/>
    <col min="7" max="7" width="80.7142857142857" customWidth="1"/>
    <col min="8" max="8" width="12.4285714285714" customWidth="1"/>
    <col min="9" max="9" width="55.2857142857143" customWidth="1"/>
    <col min="10" max="10" width="15.4285714285714" customWidth="1"/>
    <col min="11" max="11" width="13.5714285714286" customWidth="1"/>
    <col min="12" max="12" width="49.4285714285714" customWidth="1"/>
    <col min="13" max="13" width="75" customWidth="1"/>
    <col min="14" max="14" width="23.4285714285714" customWidth="1"/>
    <col min="16" max="16" width="14.1428571428571" customWidth="1"/>
    <col min="17" max="17" width="48.1428571428571" customWidth="1"/>
    <col min="18" max="22" width="47.4285714285714" customWidth="1"/>
  </cols>
  <sheetData>
    <row r="1" ht="54" spans="1:22">
      <c r="A1" s="5">
        <v>1</v>
      </c>
      <c r="B1" s="6" t="s">
        <v>38</v>
      </c>
      <c r="C1" s="7"/>
      <c r="D1" s="7"/>
      <c r="E1" s="7"/>
      <c r="F1" s="7"/>
      <c r="G1" s="8"/>
      <c r="H1" s="9" t="s">
        <v>3</v>
      </c>
      <c r="I1" s="9" t="s">
        <v>39</v>
      </c>
      <c r="J1" s="9" t="s">
        <v>40</v>
      </c>
      <c r="K1" s="9" t="s">
        <v>41</v>
      </c>
      <c r="L1" s="10" t="s">
        <v>42</v>
      </c>
      <c r="M1" s="10" t="s">
        <v>43</v>
      </c>
      <c r="N1" s="9" t="s">
        <v>600</v>
      </c>
      <c r="O1" s="9" t="s">
        <v>601</v>
      </c>
      <c r="P1" s="11" t="s">
        <v>7</v>
      </c>
      <c r="Q1" s="10" t="s">
        <v>602</v>
      </c>
      <c r="R1" s="10" t="s">
        <v>46</v>
      </c>
      <c r="S1" s="10" t="s">
        <v>47</v>
      </c>
      <c r="T1" s="10" t="s">
        <v>48</v>
      </c>
      <c r="U1" s="10" t="s">
        <v>49</v>
      </c>
      <c r="V1" s="10" t="s">
        <v>50</v>
      </c>
    </row>
    <row r="2" ht="18" spans="1:22">
      <c r="A2" s="12">
        <v>3</v>
      </c>
      <c r="B2" s="13" t="s">
        <v>9</v>
      </c>
      <c r="C2" s="14" t="s">
        <v>10</v>
      </c>
      <c r="D2" s="14"/>
      <c r="E2" s="14"/>
      <c r="F2" s="14"/>
      <c r="G2" s="15"/>
      <c r="H2" s="16">
        <v>60</v>
      </c>
      <c r="I2" s="17"/>
      <c r="J2" s="16"/>
      <c r="K2" s="16"/>
      <c r="L2" s="16"/>
      <c r="M2" s="16"/>
      <c r="N2" s="16"/>
      <c r="O2" s="16">
        <f>O195</f>
        <v>60</v>
      </c>
      <c r="P2" s="18">
        <f t="shared" ref="P2:P5" si="0">O2/H2</f>
        <v>1</v>
      </c>
      <c r="Q2" s="19"/>
      <c r="R2" s="19"/>
      <c r="S2" s="19"/>
      <c r="T2" s="19"/>
      <c r="U2" s="19"/>
      <c r="V2" s="19"/>
    </row>
    <row r="3" ht="18" spans="1:22">
      <c r="A3" s="12">
        <v>4</v>
      </c>
      <c r="B3" s="20"/>
      <c r="C3" s="21" t="s">
        <v>26</v>
      </c>
      <c r="D3" s="14" t="s">
        <v>51</v>
      </c>
      <c r="E3" s="14"/>
      <c r="F3" s="14"/>
      <c r="G3" s="15"/>
      <c r="H3" s="22">
        <v>30</v>
      </c>
      <c r="I3" s="23"/>
      <c r="J3" s="22"/>
      <c r="K3" s="22"/>
      <c r="L3" s="22"/>
      <c r="M3" s="22"/>
      <c r="N3" s="22"/>
      <c r="O3" s="22">
        <f>SUM(O4,O21,O34,O59,O73,O97)</f>
        <v>30</v>
      </c>
      <c r="P3" s="24">
        <f t="shared" si="0"/>
        <v>1</v>
      </c>
      <c r="Q3" s="25"/>
      <c r="R3" s="25"/>
      <c r="S3" s="25"/>
      <c r="T3" s="25"/>
      <c r="U3" s="25"/>
      <c r="V3" s="25"/>
    </row>
    <row r="4" ht="15.75" spans="1:22">
      <c r="A4" s="12">
        <v>5</v>
      </c>
      <c r="B4" s="26"/>
      <c r="C4" s="27"/>
      <c r="D4" s="28" t="s">
        <v>11</v>
      </c>
      <c r="E4" s="29" t="s">
        <v>12</v>
      </c>
      <c r="F4" s="29"/>
      <c r="G4" s="30"/>
      <c r="H4" s="31">
        <v>4</v>
      </c>
      <c r="I4" s="32"/>
      <c r="J4" s="31"/>
      <c r="K4" s="31"/>
      <c r="L4" s="31"/>
      <c r="M4" s="31"/>
      <c r="N4" s="31"/>
      <c r="O4" s="31">
        <f>SUM(O5,O8,O12,O16)</f>
        <v>4</v>
      </c>
      <c r="P4" s="33">
        <f t="shared" si="0"/>
        <v>1</v>
      </c>
      <c r="Q4" s="34"/>
      <c r="R4" s="34"/>
      <c r="S4" s="34"/>
      <c r="T4" s="34"/>
      <c r="U4" s="34"/>
      <c r="V4" s="34"/>
    </row>
    <row r="5" ht="15.75" spans="1:22">
      <c r="A5" s="12">
        <v>6</v>
      </c>
      <c r="B5" s="30"/>
      <c r="C5" s="35"/>
      <c r="D5" s="35"/>
      <c r="E5" s="35" t="s">
        <v>52</v>
      </c>
      <c r="F5" s="29" t="s">
        <v>53</v>
      </c>
      <c r="G5" s="30"/>
      <c r="H5" s="36">
        <v>0.5</v>
      </c>
      <c r="I5" s="37"/>
      <c r="J5" s="36"/>
      <c r="K5" s="36"/>
      <c r="L5" s="36"/>
      <c r="M5" s="36"/>
      <c r="N5" s="36"/>
      <c r="O5" s="36">
        <f>AVERAGE(O6:O7)*H5</f>
        <v>0.5</v>
      </c>
      <c r="P5" s="38">
        <f t="shared" si="0"/>
        <v>1</v>
      </c>
      <c r="Q5" s="39"/>
      <c r="R5" s="39"/>
      <c r="S5" s="39"/>
      <c r="T5" s="39"/>
      <c r="U5" s="39"/>
      <c r="V5" s="39"/>
    </row>
    <row r="6" ht="141.75" spans="1:22">
      <c r="A6" s="12">
        <v>7</v>
      </c>
      <c r="B6" s="29"/>
      <c r="C6" s="35"/>
      <c r="D6" s="35"/>
      <c r="E6" s="35"/>
      <c r="F6" s="40" t="s">
        <v>54</v>
      </c>
      <c r="G6" s="41" t="s">
        <v>55</v>
      </c>
      <c r="H6" s="42"/>
      <c r="I6" s="43" t="s">
        <v>56</v>
      </c>
      <c r="J6" s="44" t="s">
        <v>57</v>
      </c>
      <c r="K6" s="44" t="str">
        <f>Jawaban!K6</f>
        <v>Ya</v>
      </c>
      <c r="L6" s="45">
        <f>Jawaban!L6</f>
        <v>0</v>
      </c>
      <c r="M6" s="43" t="s">
        <v>59</v>
      </c>
      <c r="N6" s="46" t="s">
        <v>58</v>
      </c>
      <c r="O6" s="47">
        <f t="shared" ref="O6:O7" si="1">IF(J6="Ya/Tidak",IF(N6="Ya",1,IF(N6="Tidak",0,"Blm Diisi")),IF(J6="A/B/C",IF(N6="A",1,IF(N6="B",0.5,IF(N6="C",0,"Blm Diisi"))),IF(J6="A/B/C/D",IF(N6="A",1,IF(N6="B",0.67,IF(N6="C",0.33,IF(N6="D",0,"Blm Diisi")))),IF(J6="A/B/C/D/E",IF(N6="A",1,IF(N6="B",0.75,IF(N6="C",0.5,IF(N6="D",0.25,IF(N6="E",0,"Blm Diisi"))))),IF(J6="%",IF(N6="","Blm Diisi",N6),IF(J6="Jumlah",IF(N6="","Blm Diisi",""),IF(J6="Rupiah",IF(N6="","Blm Diisi",""),IF(J6="","","-"))))))))</f>
        <v>1</v>
      </c>
      <c r="P6" s="48"/>
      <c r="Q6" s="49"/>
      <c r="R6" s="50" t="str">
        <f>Jawaban!R6</f>
        <v>a. Unit kerja telah membentuk tim untuk melakukan pembangunan Zona Integritas.</v>
      </c>
      <c r="S6" s="51">
        <f>Jawaban!S6</f>
        <v>0</v>
      </c>
      <c r="T6" s="51">
        <f>Jawaban!T6</f>
        <v>0</v>
      </c>
      <c r="U6" s="51">
        <f>Jawaban!U6</f>
        <v>0</v>
      </c>
      <c r="V6" s="51">
        <f>Jawaban!V6</f>
        <v>0</v>
      </c>
    </row>
    <row r="7" ht="132" customHeight="1" spans="1:22">
      <c r="A7" s="12">
        <v>8</v>
      </c>
      <c r="B7" s="29"/>
      <c r="C7" s="35"/>
      <c r="D7" s="35"/>
      <c r="E7" s="35"/>
      <c r="F7" s="40" t="s">
        <v>61</v>
      </c>
      <c r="G7" s="41" t="s">
        <v>62</v>
      </c>
      <c r="H7" s="42"/>
      <c r="I7" s="51" t="s">
        <v>63</v>
      </c>
      <c r="J7" s="44" t="s">
        <v>64</v>
      </c>
      <c r="K7" s="44" t="str">
        <f>Jawaban!K7</f>
        <v>A</v>
      </c>
      <c r="L7" s="52">
        <f>Jawaban!L7</f>
        <v>0</v>
      </c>
      <c r="M7" s="51" t="s">
        <v>66</v>
      </c>
      <c r="N7" s="46" t="s">
        <v>65</v>
      </c>
      <c r="O7" s="47">
        <f t="shared" si="1"/>
        <v>1</v>
      </c>
      <c r="P7" s="48"/>
      <c r="Q7" s="53"/>
      <c r="R7" s="50" t="str">
        <f>Jawaban!R7</f>
        <v>b. Penentuan anggota Tim dipilih melalui prosedur/mekanisme yang jelas.</v>
      </c>
      <c r="S7" s="51">
        <f>Jawaban!S7</f>
        <v>0</v>
      </c>
      <c r="T7" s="51">
        <f>Jawaban!T7</f>
        <v>0</v>
      </c>
      <c r="U7" s="51">
        <f>Jawaban!U7</f>
        <v>0</v>
      </c>
      <c r="V7" s="51">
        <f>Jawaban!V7</f>
        <v>0</v>
      </c>
    </row>
    <row r="8" ht="15.75" spans="1:22">
      <c r="A8" s="12">
        <v>9</v>
      </c>
      <c r="B8" s="30"/>
      <c r="C8" s="35"/>
      <c r="D8" s="35"/>
      <c r="E8" s="35" t="s">
        <v>68</v>
      </c>
      <c r="F8" s="29" t="s">
        <v>69</v>
      </c>
      <c r="G8" s="30"/>
      <c r="H8" s="36">
        <v>1</v>
      </c>
      <c r="I8" s="37"/>
      <c r="J8" s="36"/>
      <c r="K8" s="36">
        <f>Jawaban!K8</f>
        <v>0</v>
      </c>
      <c r="L8" s="54">
        <f>Jawaban!L8</f>
        <v>0</v>
      </c>
      <c r="M8" s="55"/>
      <c r="N8" s="36"/>
      <c r="O8" s="36">
        <f>AVERAGE(O9:O11)*H8</f>
        <v>1</v>
      </c>
      <c r="P8" s="38">
        <f>O8/H8</f>
        <v>1</v>
      </c>
      <c r="Q8" s="39"/>
      <c r="R8" s="51">
        <f>Jawaban!R8</f>
        <v>0</v>
      </c>
      <c r="S8" s="51">
        <f>Jawaban!S8</f>
        <v>0</v>
      </c>
      <c r="T8" s="51">
        <f>Jawaban!T8</f>
        <v>0</v>
      </c>
      <c r="U8" s="51">
        <f>Jawaban!U8</f>
        <v>0</v>
      </c>
      <c r="V8" s="51">
        <f>Jawaban!V8</f>
        <v>0</v>
      </c>
    </row>
    <row r="9" ht="147" customHeight="1" spans="1:22">
      <c r="A9" s="12">
        <v>10</v>
      </c>
      <c r="B9" s="29"/>
      <c r="C9" s="35"/>
      <c r="D9" s="35"/>
      <c r="E9" s="35"/>
      <c r="F9" s="40" t="s">
        <v>54</v>
      </c>
      <c r="G9" s="41" t="s">
        <v>70</v>
      </c>
      <c r="H9" s="42"/>
      <c r="I9" s="41" t="s">
        <v>71</v>
      </c>
      <c r="J9" s="44" t="s">
        <v>57</v>
      </c>
      <c r="K9" s="44" t="str">
        <f>Jawaban!K9</f>
        <v>Ya</v>
      </c>
      <c r="L9" s="56">
        <f>Jawaban!L9</f>
        <v>0</v>
      </c>
      <c r="M9" s="41" t="s">
        <v>72</v>
      </c>
      <c r="N9" s="46" t="s">
        <v>58</v>
      </c>
      <c r="O9" s="47">
        <f t="shared" ref="O9:O11" si="2">IF(J9="Ya/Tidak",IF(N9="Ya",1,IF(N9="Tidak",0,"Blm Diisi")),IF(J9="A/B/C",IF(N9="A",1,IF(N9="B",0.5,IF(N9="C",0,"Blm Diisi"))),IF(J9="A/B/C/D",IF(N9="A",1,IF(N9="B",0.67,IF(N9="C",0.33,IF(N9="D",0,"Blm Diisi")))),IF(J9="A/B/C/D/E",IF(N9="A",1,IF(N9="B",0.75,IF(N9="C",0.5,IF(N9="D",0.25,IF(N9="E",0,"Blm Diisi"))))),IF(J9="%",IF(N9="","Blm Diisi",N9),IF(J9="Jumlah",IF(N9="","Blm Diisi",""),IF(J9="Rupiah",IF(N9="","Blm Diisi",""),IF(J9="","","-"))))))))</f>
        <v>1</v>
      </c>
      <c r="P9" s="48"/>
      <c r="Q9" s="49"/>
      <c r="R9" s="50" t="str">
        <f>Jawaban!R9</f>
        <v>a. Terdapat dokumen rencana kerja pembangunan Zona Integritas menuju WBK/WBBM.</v>
      </c>
      <c r="S9" s="51">
        <f>Jawaban!S9</f>
        <v>0</v>
      </c>
      <c r="T9" s="51">
        <f>Jawaban!T9</f>
        <v>0</v>
      </c>
      <c r="U9" s="51">
        <f>Jawaban!U9</f>
        <v>0</v>
      </c>
      <c r="V9" s="51">
        <f>Jawaban!V9</f>
        <v>0</v>
      </c>
    </row>
    <row r="10" ht="147" customHeight="1" spans="1:22">
      <c r="A10" s="12">
        <v>11</v>
      </c>
      <c r="B10" s="29"/>
      <c r="C10" s="35"/>
      <c r="D10" s="35"/>
      <c r="E10" s="35"/>
      <c r="F10" s="40" t="s">
        <v>61</v>
      </c>
      <c r="G10" s="41" t="s">
        <v>74</v>
      </c>
      <c r="H10" s="42"/>
      <c r="I10" s="51" t="s">
        <v>75</v>
      </c>
      <c r="J10" s="44" t="s">
        <v>64</v>
      </c>
      <c r="K10" s="44" t="str">
        <f>Jawaban!K10</f>
        <v>A</v>
      </c>
      <c r="L10" s="56">
        <f>Jawaban!L10</f>
        <v>0</v>
      </c>
      <c r="M10" s="51" t="s">
        <v>76</v>
      </c>
      <c r="N10" s="46" t="s">
        <v>65</v>
      </c>
      <c r="O10" s="47">
        <f t="shared" si="2"/>
        <v>1</v>
      </c>
      <c r="P10" s="48"/>
      <c r="Q10" s="57"/>
      <c r="R10" s="50" t="str">
        <f>Jawaban!R10</f>
        <v>b. Dalam dokumen pembangunan terdapat target-target prioritas yang relevan dengan tujuan pembangunan WBK/WBBM.</v>
      </c>
      <c r="S10" s="51">
        <f>Jawaban!S10</f>
        <v>0</v>
      </c>
      <c r="T10" s="51">
        <f>Jawaban!T10</f>
        <v>0</v>
      </c>
      <c r="U10" s="51">
        <f>Jawaban!U10</f>
        <v>0</v>
      </c>
      <c r="V10" s="51">
        <f>Jawaban!V10</f>
        <v>0</v>
      </c>
    </row>
    <row r="11" ht="409.5" spans="1:22">
      <c r="A11" s="12">
        <v>12</v>
      </c>
      <c r="B11" s="29"/>
      <c r="C11" s="35"/>
      <c r="D11" s="35"/>
      <c r="E11" s="35"/>
      <c r="F11" s="40" t="s">
        <v>78</v>
      </c>
      <c r="G11" s="41" t="s">
        <v>79</v>
      </c>
      <c r="H11" s="42"/>
      <c r="I11" s="51" t="s">
        <v>80</v>
      </c>
      <c r="J11" s="44" t="s">
        <v>64</v>
      </c>
      <c r="K11" s="44" t="str">
        <f>Jawaban!K11</f>
        <v>A</v>
      </c>
      <c r="L11" s="56">
        <f>Jawaban!L11</f>
        <v>0</v>
      </c>
      <c r="M11" s="51" t="s">
        <v>81</v>
      </c>
      <c r="N11" s="46" t="s">
        <v>65</v>
      </c>
      <c r="O11" s="47">
        <f t="shared" si="2"/>
        <v>1</v>
      </c>
      <c r="P11" s="48"/>
      <c r="Q11" s="53"/>
      <c r="R11" s="50" t="str">
        <f>Jawaban!R11</f>
        <v>c. Terdapat mekanisme atau media untuk mensosialisasikan pembangunan WBK/WBBM.</v>
      </c>
      <c r="S11" s="51">
        <f>Jawaban!S11</f>
        <v>0</v>
      </c>
      <c r="T11" s="51">
        <f>Jawaban!T11</f>
        <v>0</v>
      </c>
      <c r="U11" s="51">
        <f>Jawaban!U11</f>
        <v>0</v>
      </c>
      <c r="V11" s="51">
        <f>Jawaban!V11</f>
        <v>0</v>
      </c>
    </row>
    <row r="12" ht="15.75" spans="1:22">
      <c r="A12" s="12">
        <v>13</v>
      </c>
      <c r="B12" s="30"/>
      <c r="C12" s="35"/>
      <c r="D12" s="35"/>
      <c r="E12" s="35" t="s">
        <v>83</v>
      </c>
      <c r="F12" s="29" t="s">
        <v>84</v>
      </c>
      <c r="G12" s="30"/>
      <c r="H12" s="36">
        <v>1</v>
      </c>
      <c r="I12" s="37"/>
      <c r="J12" s="36"/>
      <c r="K12" s="36">
        <f>Jawaban!K12</f>
        <v>0</v>
      </c>
      <c r="L12" s="54">
        <f>Jawaban!L12</f>
        <v>0</v>
      </c>
      <c r="M12" s="58"/>
      <c r="N12" s="36"/>
      <c r="O12" s="36">
        <f>AVERAGE(O13:O15)*H12</f>
        <v>1</v>
      </c>
      <c r="P12" s="38">
        <f>O12/H12</f>
        <v>1</v>
      </c>
      <c r="Q12" s="39"/>
      <c r="R12" s="51">
        <f>Jawaban!R12</f>
        <v>0</v>
      </c>
      <c r="S12" s="51">
        <f>Jawaban!S12</f>
        <v>0</v>
      </c>
      <c r="T12" s="51">
        <f>Jawaban!T12</f>
        <v>0</v>
      </c>
      <c r="U12" s="51">
        <f>Jawaban!U12</f>
        <v>0</v>
      </c>
      <c r="V12" s="51">
        <f>Jawaban!V12</f>
        <v>0</v>
      </c>
    </row>
    <row r="13" ht="126" spans="1:22">
      <c r="A13" s="12">
        <v>14</v>
      </c>
      <c r="B13" s="29"/>
      <c r="C13" s="35"/>
      <c r="D13" s="35"/>
      <c r="E13" s="35"/>
      <c r="F13" s="40" t="s">
        <v>54</v>
      </c>
      <c r="G13" s="41" t="s">
        <v>85</v>
      </c>
      <c r="H13" s="42"/>
      <c r="I13" s="51" t="s">
        <v>86</v>
      </c>
      <c r="J13" s="59" t="s">
        <v>87</v>
      </c>
      <c r="K13" s="44" t="str">
        <f>Jawaban!K13</f>
        <v>A</v>
      </c>
      <c r="L13" s="52">
        <f>Jawaban!L13</f>
        <v>0</v>
      </c>
      <c r="M13" s="51" t="s">
        <v>88</v>
      </c>
      <c r="N13" s="46" t="s">
        <v>65</v>
      </c>
      <c r="O13" s="47">
        <f t="shared" ref="O13:O15" si="3">IF(J13="Ya/Tidak",IF(N13="Ya",1,IF(N13="Tidak",0,"Blm Diisi")),IF(J13="A/B/C",IF(N13="A",1,IF(N13="B",0.5,IF(N13="C",0,"Blm Diisi"))),IF(J13="A/B/C/D",IF(N13="A",1,IF(N13="B",0.67,IF(N13="C",0.33,IF(N13="D",0,"Blm Diisi")))),IF(J13="A/B/C/D/E",IF(N13="A",1,IF(N13="B",0.75,IF(N13="C",0.5,IF(N13="D",0.25,IF(N13="E",0,"Blm Diisi"))))),IF(J13="%",IF(N13="","Blm Diisi",N13),IF(J13="Jumlah",IF(N13="","Blm Diisi",""),IF(J13="Rupiah",IF(N13="","Blm Diisi",""),IF(J13="","","-"))))))))</f>
        <v>1</v>
      </c>
      <c r="P13" s="48"/>
      <c r="Q13" s="49"/>
      <c r="R13" s="50" t="str">
        <f>Jawaban!R13</f>
        <v>a. Seluruh kegiatan pembangunan sudah dilaksanakan sesuai dengan rencana.</v>
      </c>
      <c r="S13" s="51">
        <f>Jawaban!S13</f>
        <v>0</v>
      </c>
      <c r="T13" s="51">
        <f>Jawaban!T13</f>
        <v>0</v>
      </c>
      <c r="U13" s="51">
        <f>Jawaban!U13</f>
        <v>0</v>
      </c>
      <c r="V13" s="51">
        <f>Jawaban!V13</f>
        <v>0</v>
      </c>
    </row>
    <row r="14" ht="154.5" customHeight="1" spans="1:22">
      <c r="A14" s="60">
        <v>15</v>
      </c>
      <c r="B14" s="29"/>
      <c r="C14" s="35"/>
      <c r="D14" s="35"/>
      <c r="E14" s="35"/>
      <c r="F14" s="40" t="s">
        <v>61</v>
      </c>
      <c r="G14" s="41" t="s">
        <v>90</v>
      </c>
      <c r="H14" s="42"/>
      <c r="I14" s="51" t="s">
        <v>91</v>
      </c>
      <c r="J14" s="59" t="s">
        <v>87</v>
      </c>
      <c r="K14" s="44" t="str">
        <f>Jawaban!K14</f>
        <v>A</v>
      </c>
      <c r="L14" s="52">
        <f>Jawaban!L14</f>
        <v>0</v>
      </c>
      <c r="M14" s="51" t="s">
        <v>92</v>
      </c>
      <c r="N14" s="46" t="s">
        <v>65</v>
      </c>
      <c r="O14" s="47">
        <f t="shared" si="3"/>
        <v>1</v>
      </c>
      <c r="P14" s="48"/>
      <c r="Q14" s="53"/>
      <c r="R14" s="50" t="str">
        <f>Jawaban!R14</f>
        <v>b. Terdapat monitoring dan evaluasi terhadap pembangunan Zona Integritas.</v>
      </c>
      <c r="S14" s="51">
        <f>Jawaban!S14</f>
        <v>0</v>
      </c>
      <c r="T14" s="51">
        <f>Jawaban!T14</f>
        <v>0</v>
      </c>
      <c r="U14" s="51">
        <f>Jawaban!U14</f>
        <v>0</v>
      </c>
      <c r="V14" s="51">
        <f>Jawaban!V14</f>
        <v>0</v>
      </c>
    </row>
    <row r="15" ht="260.25" customHeight="1" spans="1:22">
      <c r="A15" s="12">
        <v>16</v>
      </c>
      <c r="B15" s="29"/>
      <c r="C15" s="35"/>
      <c r="D15" s="35"/>
      <c r="E15" s="35"/>
      <c r="F15" s="40" t="s">
        <v>78</v>
      </c>
      <c r="G15" s="41" t="s">
        <v>94</v>
      </c>
      <c r="H15" s="42"/>
      <c r="I15" s="51" t="s">
        <v>95</v>
      </c>
      <c r="J15" s="59" t="s">
        <v>87</v>
      </c>
      <c r="K15" s="44" t="str">
        <f>Jawaban!K15</f>
        <v>A</v>
      </c>
      <c r="L15" s="52">
        <f>Jawaban!L15</f>
        <v>0</v>
      </c>
      <c r="M15" s="51" t="s">
        <v>96</v>
      </c>
      <c r="N15" s="46" t="s">
        <v>65</v>
      </c>
      <c r="O15" s="47">
        <f t="shared" si="3"/>
        <v>1</v>
      </c>
      <c r="P15" s="48"/>
      <c r="Q15" s="53"/>
      <c r="R15" s="50" t="str">
        <f>Jawaban!R15</f>
        <v>c. Hasil Monitoring dan Evaluasi telah ditindaklanjuti.</v>
      </c>
      <c r="S15" s="51">
        <f>Jawaban!S15</f>
        <v>0</v>
      </c>
      <c r="T15" s="51">
        <f>Jawaban!T15</f>
        <v>0</v>
      </c>
      <c r="U15" s="51">
        <f>Jawaban!U15</f>
        <v>0</v>
      </c>
      <c r="V15" s="51">
        <f>Jawaban!V15</f>
        <v>0</v>
      </c>
    </row>
    <row r="16" ht="15.75" spans="1:22">
      <c r="A16" s="12">
        <v>17</v>
      </c>
      <c r="B16" s="30"/>
      <c r="C16" s="35"/>
      <c r="D16" s="35"/>
      <c r="E16" s="35" t="s">
        <v>98</v>
      </c>
      <c r="F16" s="29" t="s">
        <v>99</v>
      </c>
      <c r="G16" s="30"/>
      <c r="H16" s="36">
        <v>1.5</v>
      </c>
      <c r="I16" s="37"/>
      <c r="J16" s="36"/>
      <c r="K16" s="36">
        <f>Jawaban!K16</f>
        <v>0</v>
      </c>
      <c r="L16" s="54">
        <f>Jawaban!L16</f>
        <v>0</v>
      </c>
      <c r="M16" s="55"/>
      <c r="N16" s="36"/>
      <c r="O16" s="36">
        <f>AVERAGE(O17:O20)*H16</f>
        <v>1.5</v>
      </c>
      <c r="P16" s="38">
        <f>O16/H16</f>
        <v>1</v>
      </c>
      <c r="Q16" s="39"/>
      <c r="R16" s="51">
        <f>Jawaban!R16</f>
        <v>0</v>
      </c>
      <c r="S16" s="51">
        <f>Jawaban!S16</f>
        <v>0</v>
      </c>
      <c r="T16" s="51">
        <f>Jawaban!T16</f>
        <v>0</v>
      </c>
      <c r="U16" s="51">
        <f>Jawaban!U16</f>
        <v>0</v>
      </c>
      <c r="V16" s="51">
        <f>Jawaban!V16</f>
        <v>0</v>
      </c>
    </row>
    <row r="17" ht="409.5" spans="1:22">
      <c r="A17" s="12">
        <v>18</v>
      </c>
      <c r="B17" s="29"/>
      <c r="C17" s="35"/>
      <c r="D17" s="35"/>
      <c r="E17" s="35"/>
      <c r="F17" s="40" t="s">
        <v>54</v>
      </c>
      <c r="G17" s="41" t="s">
        <v>100</v>
      </c>
      <c r="H17" s="42"/>
      <c r="I17" s="41" t="s">
        <v>101</v>
      </c>
      <c r="J17" s="44" t="s">
        <v>57</v>
      </c>
      <c r="K17" s="44" t="str">
        <f>Jawaban!K17</f>
        <v>Ya</v>
      </c>
      <c r="L17" s="56">
        <f>Jawaban!L17</f>
        <v>0</v>
      </c>
      <c r="M17" s="41" t="s">
        <v>102</v>
      </c>
      <c r="N17" s="46" t="s">
        <v>58</v>
      </c>
      <c r="O17" s="47">
        <f t="shared" ref="O17:O20" si="4">IF(J17="Ya/Tidak",IF(N17="Ya",1,IF(N17="Tidak",0,"Blm Diisi")),IF(J17="A/B/C",IF(N17="A",1,IF(N17="B",0.5,IF(N17="C",0,"Blm Diisi"))),IF(J17="A/B/C/D",IF(N17="A",1,IF(N17="B",0.67,IF(N17="C",0.33,IF(N17="D",0,"Blm Diisi")))),IF(J17="A/B/C/D/E",IF(N17="A",1,IF(N17="B",0.75,IF(N17="C",0.5,IF(N17="D",0.25,IF(N17="E",0,"Blm Diisi"))))),IF(J17="%",IF(N17="","Blm Diisi",N17),IF(J17="Jumlah",IF(N17="","Blm Diisi",""),IF(J17="Rupiah",IF(N17="","Blm Diisi",""),IF(J17="","","-"))))))))</f>
        <v>1</v>
      </c>
      <c r="P17" s="48"/>
      <c r="Q17" s="49"/>
      <c r="R17" s="50" t="str">
        <f>Jawaban!R17</f>
        <v>a. Pimpinan berperan sebagai role model dalam pelaksanaan Pembangunan WBK/WBBM.</v>
      </c>
      <c r="S17" s="51">
        <f>Jawaban!S17</f>
        <v>0</v>
      </c>
      <c r="T17" s="51">
        <f>Jawaban!T17</f>
        <v>0</v>
      </c>
      <c r="U17" s="51">
        <f>Jawaban!U17</f>
        <v>0</v>
      </c>
      <c r="V17" s="51">
        <f>Jawaban!V17</f>
        <v>0</v>
      </c>
    </row>
    <row r="18" ht="236.25" spans="1:22">
      <c r="A18" s="12">
        <v>19</v>
      </c>
      <c r="B18" s="29"/>
      <c r="C18" s="35"/>
      <c r="D18" s="35"/>
      <c r="E18" s="35"/>
      <c r="F18" s="40" t="s">
        <v>61</v>
      </c>
      <c r="G18" s="41" t="s">
        <v>104</v>
      </c>
      <c r="H18" s="42"/>
      <c r="I18" s="51" t="s">
        <v>105</v>
      </c>
      <c r="J18" s="44" t="s">
        <v>64</v>
      </c>
      <c r="K18" s="44" t="str">
        <f>Jawaban!K18</f>
        <v>A</v>
      </c>
      <c r="L18" s="56">
        <f>Jawaban!L18</f>
        <v>0</v>
      </c>
      <c r="M18" s="51" t="s">
        <v>106</v>
      </c>
      <c r="N18" s="46" t="s">
        <v>65</v>
      </c>
      <c r="O18" s="47">
        <f t="shared" si="4"/>
        <v>1</v>
      </c>
      <c r="P18" s="48"/>
      <c r="Q18" s="57"/>
      <c r="R18" s="50" t="str">
        <f>Jawaban!R18</f>
        <v>b. Sudah ditetapkan agen perubahan.</v>
      </c>
      <c r="S18" s="51">
        <f>Jawaban!S18</f>
        <v>0</v>
      </c>
      <c r="T18" s="51">
        <f>Jawaban!T18</f>
        <v>0</v>
      </c>
      <c r="U18" s="51">
        <f>Jawaban!U18</f>
        <v>0</v>
      </c>
      <c r="V18" s="51">
        <f>Jawaban!V18</f>
        <v>0</v>
      </c>
    </row>
    <row r="19" ht="340.5" customHeight="1" spans="1:22">
      <c r="A19" s="12">
        <v>20</v>
      </c>
      <c r="B19" s="29"/>
      <c r="C19" s="35"/>
      <c r="D19" s="35"/>
      <c r="E19" s="35"/>
      <c r="F19" s="40" t="s">
        <v>78</v>
      </c>
      <c r="G19" s="41" t="s">
        <v>108</v>
      </c>
      <c r="H19" s="42"/>
      <c r="I19" s="51" t="s">
        <v>109</v>
      </c>
      <c r="J19" s="44" t="s">
        <v>64</v>
      </c>
      <c r="K19" s="44" t="str">
        <f>Jawaban!K19</f>
        <v>A</v>
      </c>
      <c r="L19" s="56">
        <f>Jawaban!L19</f>
        <v>0</v>
      </c>
      <c r="M19" s="51" t="s">
        <v>110</v>
      </c>
      <c r="N19" s="46" t="s">
        <v>65</v>
      </c>
      <c r="O19" s="47">
        <f t="shared" si="4"/>
        <v>1</v>
      </c>
      <c r="P19" s="48"/>
      <c r="Q19" s="57"/>
      <c r="R19" s="50" t="str">
        <f>Jawaban!R19</f>
        <v>c. Telah dibangun budaya kerja dan pola pikir di lingkungan organisasi.</v>
      </c>
      <c r="S19" s="51">
        <f>Jawaban!S19</f>
        <v>0</v>
      </c>
      <c r="T19" s="51">
        <f>Jawaban!T19</f>
        <v>0</v>
      </c>
      <c r="U19" s="51">
        <f>Jawaban!U19</f>
        <v>0</v>
      </c>
      <c r="V19" s="51">
        <f>Jawaban!V19</f>
        <v>0</v>
      </c>
    </row>
    <row r="20" ht="295.5" customHeight="1" spans="1:22">
      <c r="A20" s="12">
        <v>21</v>
      </c>
      <c r="B20" s="29"/>
      <c r="C20" s="35"/>
      <c r="D20" s="35"/>
      <c r="E20" s="35"/>
      <c r="F20" s="40" t="s">
        <v>112</v>
      </c>
      <c r="G20" s="41" t="s">
        <v>113</v>
      </c>
      <c r="H20" s="42"/>
      <c r="I20" s="51" t="s">
        <v>114</v>
      </c>
      <c r="J20" s="59" t="s">
        <v>87</v>
      </c>
      <c r="K20" s="44" t="str">
        <f>Jawaban!K20</f>
        <v>A</v>
      </c>
      <c r="L20" s="52">
        <f>Jawaban!L20</f>
        <v>0</v>
      </c>
      <c r="M20" s="41" t="s">
        <v>115</v>
      </c>
      <c r="N20" s="46" t="s">
        <v>65</v>
      </c>
      <c r="O20" s="47">
        <f t="shared" si="4"/>
        <v>1</v>
      </c>
      <c r="P20" s="48"/>
      <c r="Q20" s="53"/>
      <c r="R20" s="50" t="str">
        <f>Jawaban!R20</f>
        <v>d. Anggota organisasi terlibat dalam pembangunan Zona Integritas menuju WBK/WBBM.</v>
      </c>
      <c r="S20" s="51">
        <f>Jawaban!S20</f>
        <v>0</v>
      </c>
      <c r="T20" s="51">
        <f>Jawaban!T20</f>
        <v>0</v>
      </c>
      <c r="U20" s="51">
        <f>Jawaban!U20</f>
        <v>0</v>
      </c>
      <c r="V20" s="51">
        <f>Jawaban!V20</f>
        <v>0</v>
      </c>
    </row>
    <row r="21" ht="15.75" customHeight="1" spans="1:22">
      <c r="A21" s="12">
        <v>22</v>
      </c>
      <c r="B21" s="26"/>
      <c r="C21" s="61"/>
      <c r="D21" s="28" t="s">
        <v>13</v>
      </c>
      <c r="E21" s="29" t="s">
        <v>14</v>
      </c>
      <c r="F21" s="29"/>
      <c r="G21" s="30"/>
      <c r="H21" s="31">
        <v>3.5</v>
      </c>
      <c r="I21" s="32"/>
      <c r="J21" s="31"/>
      <c r="K21" s="31">
        <f>Jawaban!K21</f>
        <v>0</v>
      </c>
      <c r="L21" s="54">
        <f>Jawaban!L21</f>
        <v>0</v>
      </c>
      <c r="M21" s="55"/>
      <c r="N21" s="31"/>
      <c r="O21" s="31">
        <f>SUM(O22,O26,O31)</f>
        <v>3.5</v>
      </c>
      <c r="P21" s="33">
        <f t="shared" ref="P21:P22" si="5">O21/H21</f>
        <v>1</v>
      </c>
      <c r="Q21" s="34"/>
      <c r="R21" s="51">
        <f>Jawaban!R21</f>
        <v>0</v>
      </c>
      <c r="S21" s="51">
        <f>Jawaban!S21</f>
        <v>0</v>
      </c>
      <c r="T21" s="51">
        <f>Jawaban!T21</f>
        <v>0</v>
      </c>
      <c r="U21" s="51">
        <f>Jawaban!U21</f>
        <v>0</v>
      </c>
      <c r="V21" s="51">
        <f>Jawaban!V21</f>
        <v>0</v>
      </c>
    </row>
    <row r="22" ht="15.75" customHeight="1" spans="1:22">
      <c r="A22" s="12">
        <v>23</v>
      </c>
      <c r="B22" s="30"/>
      <c r="C22" s="35"/>
      <c r="D22" s="35"/>
      <c r="E22" s="35" t="s">
        <v>52</v>
      </c>
      <c r="F22" s="29" t="s">
        <v>117</v>
      </c>
      <c r="G22" s="30"/>
      <c r="H22" s="36">
        <v>1</v>
      </c>
      <c r="I22" s="37"/>
      <c r="J22" s="36"/>
      <c r="K22" s="36">
        <f>Jawaban!K22</f>
        <v>0</v>
      </c>
      <c r="L22" s="54">
        <f>Jawaban!L22</f>
        <v>0</v>
      </c>
      <c r="M22" s="55"/>
      <c r="N22" s="36"/>
      <c r="O22" s="36">
        <f>AVERAGE(O23:O25)*H22</f>
        <v>1</v>
      </c>
      <c r="P22" s="38">
        <f t="shared" si="5"/>
        <v>1</v>
      </c>
      <c r="Q22" s="39"/>
      <c r="R22" s="51">
        <f>Jawaban!R22</f>
        <v>0</v>
      </c>
      <c r="S22" s="51">
        <f>Jawaban!S22</f>
        <v>0</v>
      </c>
      <c r="T22" s="51">
        <f>Jawaban!T22</f>
        <v>0</v>
      </c>
      <c r="U22" s="51">
        <f>Jawaban!U22</f>
        <v>0</v>
      </c>
      <c r="V22" s="51">
        <f>Jawaban!V22</f>
        <v>0</v>
      </c>
    </row>
    <row r="23" ht="289.5" customHeight="1" spans="1:22">
      <c r="A23" s="62">
        <v>24</v>
      </c>
      <c r="B23" s="63"/>
      <c r="C23" s="64"/>
      <c r="D23" s="64"/>
      <c r="E23" s="64"/>
      <c r="F23" s="65" t="s">
        <v>54</v>
      </c>
      <c r="G23" s="66" t="s">
        <v>118</v>
      </c>
      <c r="H23" s="67"/>
      <c r="I23" s="68" t="s">
        <v>119</v>
      </c>
      <c r="J23" s="69" t="s">
        <v>87</v>
      </c>
      <c r="K23" s="44" t="str">
        <f>Jawaban!K23</f>
        <v>A</v>
      </c>
      <c r="L23" s="70">
        <f>Jawaban!L23</f>
        <v>0</v>
      </c>
      <c r="M23" s="51" t="s">
        <v>120</v>
      </c>
      <c r="N23" s="46" t="s">
        <v>65</v>
      </c>
      <c r="O23" s="47">
        <f t="shared" ref="O23:O25" si="6">IF(J23="Ya/Tidak",IF(N23="Ya",1,IF(N23="Tidak",0,"Blm Diisi")),IF(J23="A/B/C",IF(N23="A",1,IF(N23="B",0.5,IF(N23="C",0,"Blm Diisi"))),IF(J23="A/B/C/D",IF(N23="A",1,IF(N23="B",0.67,IF(N23="C",0.33,IF(N23="D",0,"Blm Diisi")))),IF(J23="A/B/C/D/E",IF(N23="A",1,IF(N23="B",0.75,IF(N23="C",0.5,IF(N23="D",0.25,IF(N23="E",0,"Blm Diisi"))))),IF(J23="%",IF(N23="","Blm Diisi",N23),IF(J23="Jumlah",IF(N23="","Blm Diisi",""),IF(J23="Rupiah",IF(N23="","Blm Diisi",""),IF(J23="","","-"))))))))</f>
        <v>1</v>
      </c>
      <c r="P23" s="48"/>
      <c r="Q23" s="49"/>
      <c r="R23" s="50" t="str">
        <f>Jawaban!R23</f>
        <v>a. SOP mengacu pada peta proses bisnis instansi.</v>
      </c>
      <c r="S23" s="51">
        <f>Jawaban!S23</f>
        <v>0</v>
      </c>
      <c r="T23" s="51">
        <f>Jawaban!T23</f>
        <v>0</v>
      </c>
      <c r="U23" s="51">
        <f>Jawaban!U23</f>
        <v>0</v>
      </c>
      <c r="V23" s="51">
        <f>Jawaban!V23</f>
        <v>0</v>
      </c>
    </row>
    <row r="24" ht="15.75" customHeight="1" spans="1:22">
      <c r="A24" s="12">
        <v>25</v>
      </c>
      <c r="B24" s="29"/>
      <c r="C24" s="35"/>
      <c r="D24" s="35"/>
      <c r="E24" s="35"/>
      <c r="F24" s="40" t="s">
        <v>61</v>
      </c>
      <c r="G24" s="41" t="s">
        <v>122</v>
      </c>
      <c r="H24" s="42"/>
      <c r="I24" s="51" t="s">
        <v>123</v>
      </c>
      <c r="J24" s="59" t="s">
        <v>124</v>
      </c>
      <c r="K24" s="44" t="str">
        <f>Jawaban!K24</f>
        <v>A</v>
      </c>
      <c r="L24" s="52">
        <f>Jawaban!L24</f>
        <v>0</v>
      </c>
      <c r="M24" s="51" t="s">
        <v>125</v>
      </c>
      <c r="N24" s="46" t="s">
        <v>65</v>
      </c>
      <c r="O24" s="47">
        <f t="shared" si="6"/>
        <v>1</v>
      </c>
      <c r="P24" s="48"/>
      <c r="Q24" s="57"/>
      <c r="R24" s="50" t="str">
        <f>Jawaban!R24</f>
        <v>b. Prosedur operasional tetap (SOP) telah diterapkan.</v>
      </c>
      <c r="S24" s="51">
        <f>Jawaban!S24</f>
        <v>0</v>
      </c>
      <c r="T24" s="51">
        <f>Jawaban!T24</f>
        <v>0</v>
      </c>
      <c r="U24" s="51">
        <f>Jawaban!U24</f>
        <v>0</v>
      </c>
      <c r="V24" s="51">
        <f>Jawaban!V24</f>
        <v>0</v>
      </c>
    </row>
    <row r="25" ht="15.75" customHeight="1" spans="1:22">
      <c r="A25" s="12">
        <v>26</v>
      </c>
      <c r="B25" s="29"/>
      <c r="C25" s="35"/>
      <c r="D25" s="35"/>
      <c r="E25" s="35"/>
      <c r="F25" s="40" t="s">
        <v>78</v>
      </c>
      <c r="G25" s="41" t="s">
        <v>127</v>
      </c>
      <c r="H25" s="42"/>
      <c r="I25" s="51" t="s">
        <v>128</v>
      </c>
      <c r="J25" s="59" t="s">
        <v>124</v>
      </c>
      <c r="K25" s="44" t="str">
        <f>Jawaban!K25</f>
        <v>A</v>
      </c>
      <c r="L25" s="52">
        <f>Jawaban!L25</f>
        <v>0</v>
      </c>
      <c r="M25" s="51" t="s">
        <v>129</v>
      </c>
      <c r="N25" s="46" t="s">
        <v>65</v>
      </c>
      <c r="O25" s="47">
        <f t="shared" si="6"/>
        <v>1</v>
      </c>
      <c r="P25" s="48"/>
      <c r="Q25" s="53"/>
      <c r="R25" s="50" t="str">
        <f>Jawaban!R25</f>
        <v>c. Prosedur operasional tetap (SOP) telah dievaluasi.</v>
      </c>
      <c r="S25" s="51">
        <f>Jawaban!S25</f>
        <v>0</v>
      </c>
      <c r="T25" s="51">
        <f>Jawaban!T25</f>
        <v>0</v>
      </c>
      <c r="U25" s="51">
        <f>Jawaban!U25</f>
        <v>0</v>
      </c>
      <c r="V25" s="51">
        <f>Jawaban!V25</f>
        <v>0</v>
      </c>
    </row>
    <row r="26" ht="15.75" customHeight="1" spans="1:22">
      <c r="A26" s="12">
        <v>27</v>
      </c>
      <c r="B26" s="30"/>
      <c r="C26" s="35"/>
      <c r="D26" s="35"/>
      <c r="E26" s="35" t="s">
        <v>68</v>
      </c>
      <c r="F26" s="29" t="s">
        <v>131</v>
      </c>
      <c r="G26" s="30"/>
      <c r="H26" s="36">
        <v>2</v>
      </c>
      <c r="I26" s="37"/>
      <c r="J26" s="36"/>
      <c r="K26" s="36">
        <f>Jawaban!K26</f>
        <v>0</v>
      </c>
      <c r="L26" s="54">
        <f>Jawaban!L26</f>
        <v>0</v>
      </c>
      <c r="M26" s="55"/>
      <c r="N26" s="36"/>
      <c r="O26" s="36">
        <f>AVERAGE(O27:O30)*H26</f>
        <v>2</v>
      </c>
      <c r="P26" s="38">
        <f>O26/H26</f>
        <v>1</v>
      </c>
      <c r="Q26" s="39"/>
      <c r="R26" s="51">
        <f>Jawaban!R26</f>
        <v>0</v>
      </c>
      <c r="S26" s="51">
        <f>Jawaban!S26</f>
        <v>0</v>
      </c>
      <c r="T26" s="51">
        <f>Jawaban!T26</f>
        <v>0</v>
      </c>
      <c r="U26" s="51">
        <f>Jawaban!U26</f>
        <v>0</v>
      </c>
      <c r="V26" s="51">
        <f>Jawaban!V26</f>
        <v>0</v>
      </c>
    </row>
    <row r="27" ht="15.75" customHeight="1" spans="1:22">
      <c r="A27" s="12">
        <v>28</v>
      </c>
      <c r="B27" s="29"/>
      <c r="C27" s="35"/>
      <c r="D27" s="35"/>
      <c r="E27" s="35"/>
      <c r="F27" s="40" t="s">
        <v>54</v>
      </c>
      <c r="G27" s="41" t="s">
        <v>132</v>
      </c>
      <c r="H27" s="42"/>
      <c r="I27" s="51" t="s">
        <v>133</v>
      </c>
      <c r="J27" s="59" t="s">
        <v>64</v>
      </c>
      <c r="K27" s="44" t="str">
        <f>Jawaban!K27</f>
        <v>A</v>
      </c>
      <c r="L27" s="56">
        <f>Jawaban!L27</f>
        <v>0</v>
      </c>
      <c r="M27" s="51" t="s">
        <v>594</v>
      </c>
      <c r="N27" s="46" t="s">
        <v>65</v>
      </c>
      <c r="O27" s="47">
        <f t="shared" ref="O27:O30" si="7">IF(J27="Ya/Tidak",IF(N27="Ya",1,IF(N27="Tidak",0,"Blm Diisi")),IF(J27="A/B/C",IF(N27="A",1,IF(N27="B",0.5,IF(N27="C",0,"Blm Diisi"))),IF(J27="A/B/C/D",IF(N27="A",1,IF(N27="B",0.67,IF(N27="C",0.33,IF(N27="D",0,"Blm Diisi")))),IF(J27="A/B/C/D/E",IF(N27="A",1,IF(N27="B",0.75,IF(N27="C",0.5,IF(N27="D",0.25,IF(N27="E",0,"Blm Diisi"))))),IF(J27="%",IF(N27="","Blm Diisi",N27),IF(J27="Jumlah",IF(N27="","Blm Diisi",""),IF(J27="Rupiah",IF(N27="","Blm Diisi",""),IF(J27="","","-"))))))))</f>
        <v>1</v>
      </c>
      <c r="P27" s="48"/>
      <c r="Q27" s="71"/>
      <c r="R27" s="50" t="str">
        <f>Jawaban!R27</f>
        <v>a. Sistem pengukuran kinerja unit sudah menggunakan teknologi informasi.</v>
      </c>
      <c r="S27" s="51">
        <f>Jawaban!S27</f>
        <v>0</v>
      </c>
      <c r="T27" s="51">
        <f>Jawaban!T27</f>
        <v>0</v>
      </c>
      <c r="U27" s="51">
        <f>Jawaban!U27</f>
        <v>0</v>
      </c>
      <c r="V27" s="51">
        <f>Jawaban!V27</f>
        <v>0</v>
      </c>
    </row>
    <row r="28" ht="15.75" customHeight="1" spans="1:22">
      <c r="A28" s="12">
        <v>29</v>
      </c>
      <c r="B28" s="29"/>
      <c r="C28" s="35"/>
      <c r="D28" s="35"/>
      <c r="E28" s="35"/>
      <c r="F28" s="40" t="s">
        <v>61</v>
      </c>
      <c r="G28" s="41" t="s">
        <v>136</v>
      </c>
      <c r="H28" s="42"/>
      <c r="I28" s="51" t="s">
        <v>137</v>
      </c>
      <c r="J28" s="59" t="s">
        <v>64</v>
      </c>
      <c r="K28" s="44" t="str">
        <f>Jawaban!K28</f>
        <v>A</v>
      </c>
      <c r="L28" s="52">
        <f>Jawaban!L28</f>
        <v>0</v>
      </c>
      <c r="M28" s="51" t="s">
        <v>138</v>
      </c>
      <c r="N28" s="46" t="s">
        <v>65</v>
      </c>
      <c r="O28" s="47">
        <f t="shared" si="7"/>
        <v>1</v>
      </c>
      <c r="P28" s="48"/>
      <c r="Q28" s="71"/>
      <c r="R28" s="50" t="str">
        <f>Jawaban!R28</f>
        <v>b. Operasionalisasi manajemen SDM sudah menggunakan teknologi informasi. </v>
      </c>
      <c r="S28" s="51">
        <f>Jawaban!S28</f>
        <v>0</v>
      </c>
      <c r="T28" s="51">
        <f>Jawaban!T28</f>
        <v>0</v>
      </c>
      <c r="U28" s="51">
        <f>Jawaban!U28</f>
        <v>0</v>
      </c>
      <c r="V28" s="51">
        <f>Jawaban!V28</f>
        <v>0</v>
      </c>
    </row>
    <row r="29" ht="15.75" customHeight="1" spans="1:22">
      <c r="A29" s="12">
        <v>30</v>
      </c>
      <c r="B29" s="29"/>
      <c r="C29" s="35"/>
      <c r="D29" s="35"/>
      <c r="E29" s="35"/>
      <c r="F29" s="40" t="s">
        <v>78</v>
      </c>
      <c r="G29" s="41" t="s">
        <v>140</v>
      </c>
      <c r="H29" s="42"/>
      <c r="I29" s="51" t="s">
        <v>141</v>
      </c>
      <c r="J29" s="59" t="s">
        <v>64</v>
      </c>
      <c r="K29" s="44" t="str">
        <f>Jawaban!K29</f>
        <v>A</v>
      </c>
      <c r="L29" s="56">
        <f>Jawaban!L29</f>
        <v>0</v>
      </c>
      <c r="M29" s="51" t="s">
        <v>142</v>
      </c>
      <c r="N29" s="46" t="s">
        <v>65</v>
      </c>
      <c r="O29" s="47">
        <f t="shared" si="7"/>
        <v>1</v>
      </c>
      <c r="P29" s="48"/>
      <c r="Q29" s="71"/>
      <c r="R29" s="50" t="str">
        <f>Jawaban!R29</f>
        <v>c.Pemberian pelayanan kepada publik sudah menggunakan teknologi informasi. </v>
      </c>
      <c r="S29" s="51">
        <f>Jawaban!S29</f>
        <v>0</v>
      </c>
      <c r="T29" s="51">
        <f>Jawaban!T29</f>
        <v>0</v>
      </c>
      <c r="U29" s="51">
        <f>Jawaban!U29</f>
        <v>0</v>
      </c>
      <c r="V29" s="51">
        <f>Jawaban!V29</f>
        <v>0</v>
      </c>
    </row>
    <row r="30" ht="280.5" customHeight="1" spans="1:22">
      <c r="A30" s="12">
        <v>31</v>
      </c>
      <c r="B30" s="29"/>
      <c r="C30" s="35"/>
      <c r="D30" s="35"/>
      <c r="E30" s="35"/>
      <c r="F30" s="40" t="s">
        <v>144</v>
      </c>
      <c r="G30" s="41" t="s">
        <v>145</v>
      </c>
      <c r="H30" s="42"/>
      <c r="I30" s="51" t="s">
        <v>146</v>
      </c>
      <c r="J30" s="59" t="s">
        <v>64</v>
      </c>
      <c r="K30" s="44" t="str">
        <f>Jawaban!K30</f>
        <v>A</v>
      </c>
      <c r="L30" s="52">
        <f>Jawaban!L30</f>
        <v>0</v>
      </c>
      <c r="M30" s="51" t="s">
        <v>147</v>
      </c>
      <c r="N30" s="46" t="s">
        <v>65</v>
      </c>
      <c r="O30" s="47">
        <f t="shared" si="7"/>
        <v>1</v>
      </c>
      <c r="P30" s="48"/>
      <c r="Q30" s="71"/>
      <c r="R30" s="50" t="str">
        <f>Jawaban!R30</f>
        <v>d. Telah dilakukan monitoring dan dan evaluasi terhadap pemanfaatan teknologi informasi dalam pengukuran kinerja unit, operasionalisasi SDM, dan pemberian layanan kepada publik.</v>
      </c>
      <c r="S30" s="51">
        <f>Jawaban!S30</f>
        <v>0</v>
      </c>
      <c r="T30" s="51">
        <f>Jawaban!T30</f>
        <v>0</v>
      </c>
      <c r="U30" s="51">
        <f>Jawaban!U30</f>
        <v>0</v>
      </c>
      <c r="V30" s="51">
        <f>Jawaban!V30</f>
        <v>0</v>
      </c>
    </row>
    <row r="31" ht="15.75" customHeight="1" spans="1:22">
      <c r="A31" s="12">
        <v>32</v>
      </c>
      <c r="B31" s="30"/>
      <c r="C31" s="35"/>
      <c r="D31" s="35"/>
      <c r="E31" s="35" t="s">
        <v>83</v>
      </c>
      <c r="F31" s="29" t="s">
        <v>149</v>
      </c>
      <c r="G31" s="30"/>
      <c r="H31" s="36">
        <v>0.5</v>
      </c>
      <c r="I31" s="37"/>
      <c r="J31" s="36"/>
      <c r="K31" s="36">
        <f>Jawaban!K31</f>
        <v>0</v>
      </c>
      <c r="L31" s="54">
        <f>Jawaban!L31</f>
        <v>0</v>
      </c>
      <c r="M31" s="55"/>
      <c r="N31" s="36"/>
      <c r="O31" s="36">
        <f>AVERAGE(O32:O33)*H31</f>
        <v>0.5</v>
      </c>
      <c r="P31" s="38">
        <f>O31/H31</f>
        <v>1</v>
      </c>
      <c r="Q31" s="39"/>
      <c r="R31" s="51">
        <f>Jawaban!R31</f>
        <v>0</v>
      </c>
      <c r="S31" s="51">
        <f>Jawaban!S31</f>
        <v>0</v>
      </c>
      <c r="T31" s="51">
        <f>Jawaban!T31</f>
        <v>0</v>
      </c>
      <c r="U31" s="51">
        <f>Jawaban!U31</f>
        <v>0</v>
      </c>
      <c r="V31" s="51">
        <f>Jawaban!V31</f>
        <v>0</v>
      </c>
    </row>
    <row r="32" ht="15.75" customHeight="1" spans="1:22">
      <c r="A32" s="12">
        <v>33</v>
      </c>
      <c r="B32" s="29"/>
      <c r="C32" s="35"/>
      <c r="D32" s="35"/>
      <c r="E32" s="35"/>
      <c r="F32" s="40" t="s">
        <v>54</v>
      </c>
      <c r="G32" s="41" t="s">
        <v>150</v>
      </c>
      <c r="H32" s="42"/>
      <c r="I32" s="51" t="s">
        <v>151</v>
      </c>
      <c r="J32" s="59" t="s">
        <v>64</v>
      </c>
      <c r="K32" s="44" t="str">
        <f>Jawaban!K32</f>
        <v>A</v>
      </c>
      <c r="L32" s="56">
        <f>Jawaban!L32</f>
        <v>0</v>
      </c>
      <c r="M32" s="51" t="s">
        <v>152</v>
      </c>
      <c r="N32" s="46" t="s">
        <v>65</v>
      </c>
      <c r="O32" s="47">
        <f t="shared" ref="O32:O33" si="8">IF(J32="Ya/Tidak",IF(N32="Ya",1,IF(N32="Tidak",0,"Blm Diisi")),IF(J32="A/B/C",IF(N32="A",1,IF(N32="B",0.5,IF(N32="C",0,"Blm Diisi"))),IF(J32="A/B/C/D",IF(N32="A",1,IF(N32="B",0.67,IF(N32="C",0.33,IF(N32="D",0,"Blm Diisi")))),IF(J32="A/B/C/D/E",IF(N32="A",1,IF(N32="B",0.75,IF(N32="C",0.5,IF(N32="D",0.25,IF(N32="E",0,"Blm Diisi"))))),IF(J32="%",IF(N32="","Blm Diisi",N32),IF(J32="Jumlah",IF(N32="","Blm Diisi",""),IF(J32="Rupiah",IF(N32="","Blm Diisi",""),IF(J32="","","-"))))))))</f>
        <v>1</v>
      </c>
      <c r="P32" s="48"/>
      <c r="Q32" s="72"/>
      <c r="R32" s="50" t="str">
        <f>Jawaban!R32</f>
        <v>a. Kebijakan tentang  keterbukaan informasi publik telah diterapkan</v>
      </c>
      <c r="S32" s="51">
        <f>Jawaban!S32</f>
        <v>0</v>
      </c>
      <c r="T32" s="51">
        <f>Jawaban!T32</f>
        <v>0</v>
      </c>
      <c r="U32" s="51">
        <f>Jawaban!U32</f>
        <v>0</v>
      </c>
      <c r="V32" s="51">
        <f>Jawaban!V32</f>
        <v>0</v>
      </c>
    </row>
    <row r="33" ht="15.75" customHeight="1" spans="1:22">
      <c r="A33" s="12">
        <v>34</v>
      </c>
      <c r="B33" s="29"/>
      <c r="C33" s="35"/>
      <c r="D33" s="35"/>
      <c r="E33" s="35"/>
      <c r="F33" s="40" t="s">
        <v>61</v>
      </c>
      <c r="G33" s="41" t="s">
        <v>154</v>
      </c>
      <c r="H33" s="42"/>
      <c r="I33" s="51" t="s">
        <v>155</v>
      </c>
      <c r="J33" s="59" t="s">
        <v>64</v>
      </c>
      <c r="K33" s="44" t="str">
        <f>Jawaban!K33</f>
        <v>A</v>
      </c>
      <c r="L33" s="73">
        <f>Jawaban!L33</f>
        <v>0</v>
      </c>
      <c r="M33" s="51" t="s">
        <v>156</v>
      </c>
      <c r="N33" s="46" t="s">
        <v>65</v>
      </c>
      <c r="O33" s="47">
        <f t="shared" si="8"/>
        <v>1</v>
      </c>
      <c r="P33" s="48"/>
      <c r="Q33" s="71"/>
      <c r="R33" s="50" t="str">
        <f>Jawaban!R33</f>
        <v>b. Telah dilakukan monitoring dan evaluasi pelaksanaan kebijakan keterbukaan informasi publik.</v>
      </c>
      <c r="S33" s="51">
        <f>Jawaban!S33</f>
        <v>0</v>
      </c>
      <c r="T33" s="51">
        <f>Jawaban!T33</f>
        <v>0</v>
      </c>
      <c r="U33" s="51">
        <f>Jawaban!U33</f>
        <v>0</v>
      </c>
      <c r="V33" s="51">
        <f>Jawaban!V33</f>
        <v>0</v>
      </c>
    </row>
    <row r="34" ht="15.75" customHeight="1" spans="1:22">
      <c r="A34" s="12">
        <v>35</v>
      </c>
      <c r="B34" s="26"/>
      <c r="C34" s="61"/>
      <c r="D34" s="28" t="s">
        <v>15</v>
      </c>
      <c r="E34" s="29" t="s">
        <v>16</v>
      </c>
      <c r="F34" s="29"/>
      <c r="G34" s="30"/>
      <c r="H34" s="31">
        <v>5</v>
      </c>
      <c r="I34" s="32"/>
      <c r="J34" s="31"/>
      <c r="K34" s="31">
        <f>Jawaban!K34</f>
        <v>0</v>
      </c>
      <c r="L34" s="54">
        <f>Jawaban!L34</f>
        <v>0</v>
      </c>
      <c r="M34" s="55"/>
      <c r="N34" s="31"/>
      <c r="O34" s="31">
        <f>SUM(O35,O39,O43,O50,O55,O57)</f>
        <v>5</v>
      </c>
      <c r="P34" s="33">
        <f t="shared" ref="P34:P35" si="9">O34/H34</f>
        <v>1</v>
      </c>
      <c r="Q34" s="34"/>
      <c r="R34" s="51">
        <f>Jawaban!R34</f>
        <v>0</v>
      </c>
      <c r="S34" s="51">
        <f>Jawaban!S34</f>
        <v>0</v>
      </c>
      <c r="T34" s="51">
        <f>Jawaban!T34</f>
        <v>0</v>
      </c>
      <c r="U34" s="51">
        <f>Jawaban!U34</f>
        <v>0</v>
      </c>
      <c r="V34" s="51">
        <f>Jawaban!V34</f>
        <v>0</v>
      </c>
    </row>
    <row r="35" ht="15.75" customHeight="1" spans="1:22">
      <c r="A35" s="12">
        <v>36</v>
      </c>
      <c r="B35" s="30"/>
      <c r="C35" s="35"/>
      <c r="D35" s="35"/>
      <c r="E35" s="35" t="s">
        <v>52</v>
      </c>
      <c r="F35" s="29" t="s">
        <v>158</v>
      </c>
      <c r="G35" s="30"/>
      <c r="H35" s="36">
        <v>0.25</v>
      </c>
      <c r="I35" s="37"/>
      <c r="J35" s="36"/>
      <c r="K35" s="36">
        <f>Jawaban!K35</f>
        <v>0</v>
      </c>
      <c r="L35" s="54">
        <f>Jawaban!L35</f>
        <v>0</v>
      </c>
      <c r="M35" s="55"/>
      <c r="N35" s="36"/>
      <c r="O35" s="36">
        <f>AVERAGE(O36:O38)*H35</f>
        <v>0.25</v>
      </c>
      <c r="P35" s="38">
        <f t="shared" si="9"/>
        <v>1</v>
      </c>
      <c r="Q35" s="39"/>
      <c r="R35" s="51">
        <f>Jawaban!R35</f>
        <v>0</v>
      </c>
      <c r="S35" s="51">
        <f>Jawaban!S35</f>
        <v>0</v>
      </c>
      <c r="T35" s="51">
        <f>Jawaban!T35</f>
        <v>0</v>
      </c>
      <c r="U35" s="51">
        <f>Jawaban!U35</f>
        <v>0</v>
      </c>
      <c r="V35" s="51">
        <f>Jawaban!V35</f>
        <v>0</v>
      </c>
    </row>
    <row r="36" ht="15.75" customHeight="1" spans="1:22">
      <c r="A36" s="12">
        <v>37</v>
      </c>
      <c r="B36" s="29"/>
      <c r="C36" s="35"/>
      <c r="D36" s="35"/>
      <c r="E36" s="35"/>
      <c r="F36" s="40" t="s">
        <v>54</v>
      </c>
      <c r="G36" s="41" t="s">
        <v>159</v>
      </c>
      <c r="H36" s="42"/>
      <c r="I36" s="41" t="s">
        <v>160</v>
      </c>
      <c r="J36" s="59" t="s">
        <v>57</v>
      </c>
      <c r="K36" s="44" t="str">
        <f>Jawaban!K36</f>
        <v>Ya</v>
      </c>
      <c r="L36" s="56">
        <f>Jawaban!L36</f>
        <v>0</v>
      </c>
      <c r="M36" s="41" t="s">
        <v>161</v>
      </c>
      <c r="N36" s="46" t="s">
        <v>58</v>
      </c>
      <c r="O36" s="47">
        <f t="shared" ref="O36:O38" si="10">IF(J36="Ya/Tidak",IF(N36="Ya",1,IF(N36="Tidak",0,"Blm Diisi")),IF(J36="A/B/C",IF(N36="A",1,IF(N36="B",0.5,IF(N36="C",0,"Blm Diisi"))),IF(J36="A/B/C/D",IF(N36="A",1,IF(N36="B",0.67,IF(N36="C",0.33,IF(N36="D",0,"Blm Diisi")))),IF(J36="A/B/C/D/E",IF(N36="A",1,IF(N36="B",0.75,IF(N36="C",0.5,IF(N36="D",0.25,IF(N36="E",0,"Blm Diisi"))))),IF(J36="%",IF(N36="","Blm Diisi",N36),IF(J36="Jumlah",IF(N36="","Blm Diisi",""),IF(J36="Rupiah",IF(N36="","Blm Diisi",""),IF(J36="","","-"))))))))</f>
        <v>1</v>
      </c>
      <c r="P36" s="48"/>
      <c r="Q36" s="49"/>
      <c r="R36" s="50" t="str">
        <f>Jawaban!R36</f>
        <v>a. Kebutuhan pegawai yang disusun oleh unit kerja mengacu kepada peta jabatan dan hasil analisis beban kerja untuk masing-masing jabatan.</v>
      </c>
      <c r="S36" s="51">
        <f>Jawaban!S36</f>
        <v>0</v>
      </c>
      <c r="T36" s="51">
        <f>Jawaban!T36</f>
        <v>0</v>
      </c>
      <c r="U36" s="51">
        <f>Jawaban!U36</f>
        <v>0</v>
      </c>
      <c r="V36" s="51">
        <f>Jawaban!V36</f>
        <v>0</v>
      </c>
    </row>
    <row r="37" ht="248.25" customHeight="1" spans="1:22">
      <c r="A37" s="12">
        <v>38</v>
      </c>
      <c r="B37" s="29"/>
      <c r="C37" s="35"/>
      <c r="D37" s="35"/>
      <c r="E37" s="35"/>
      <c r="F37" s="40" t="s">
        <v>61</v>
      </c>
      <c r="G37" s="41" t="s">
        <v>163</v>
      </c>
      <c r="H37" s="42"/>
      <c r="I37" s="51" t="s">
        <v>164</v>
      </c>
      <c r="J37" s="59" t="s">
        <v>87</v>
      </c>
      <c r="K37" s="44" t="str">
        <f>Jawaban!K37</f>
        <v>A</v>
      </c>
      <c r="L37" s="56">
        <f>Jawaban!L37</f>
        <v>0</v>
      </c>
      <c r="M37" s="51" t="s">
        <v>165</v>
      </c>
      <c r="N37" s="46" t="s">
        <v>65</v>
      </c>
      <c r="O37" s="47">
        <f t="shared" si="10"/>
        <v>1</v>
      </c>
      <c r="P37" s="48"/>
      <c r="Q37" s="49"/>
      <c r="R37" s="50" t="str">
        <f>Jawaban!R37</f>
        <v>b. Penempatan pegawai hasil rekrutmen murni mengacu kepada kebutuhan pegawai yang telah disusun per jabatan.</v>
      </c>
      <c r="S37" s="51">
        <f>Jawaban!S37</f>
        <v>0</v>
      </c>
      <c r="T37" s="51">
        <f>Jawaban!T37</f>
        <v>0</v>
      </c>
      <c r="U37" s="51">
        <f>Jawaban!U37</f>
        <v>0</v>
      </c>
      <c r="V37" s="51">
        <f>Jawaban!V37</f>
        <v>0</v>
      </c>
    </row>
    <row r="38" ht="15.75" customHeight="1" spans="1:22">
      <c r="A38" s="12">
        <v>39</v>
      </c>
      <c r="B38" s="29"/>
      <c r="C38" s="35"/>
      <c r="D38" s="35"/>
      <c r="E38" s="35"/>
      <c r="F38" s="40" t="s">
        <v>78</v>
      </c>
      <c r="G38" s="41" t="s">
        <v>167</v>
      </c>
      <c r="H38" s="42"/>
      <c r="I38" s="41" t="s">
        <v>168</v>
      </c>
      <c r="J38" s="59" t="s">
        <v>57</v>
      </c>
      <c r="K38" s="44" t="str">
        <f>Jawaban!K38</f>
        <v>Ya</v>
      </c>
      <c r="L38" s="52">
        <f>Jawaban!L38</f>
        <v>0</v>
      </c>
      <c r="M38" s="41" t="s">
        <v>169</v>
      </c>
      <c r="N38" s="46" t="s">
        <v>58</v>
      </c>
      <c r="O38" s="47">
        <f t="shared" si="10"/>
        <v>1</v>
      </c>
      <c r="P38" s="48"/>
      <c r="Q38" s="74"/>
      <c r="R38" s="50" t="str">
        <f>Jawaban!R38</f>
        <v>c. Telah dilakukan monitoring dan dan evaluasi terhadap penempatan pegawai rekrutmen untuk memenuhi kebutuhan jabatan dalam organisasi telah memberikan perbaikan terhadap kinerja unit kerja.</v>
      </c>
      <c r="S38" s="51">
        <f>Jawaban!S38</f>
        <v>0</v>
      </c>
      <c r="T38" s="51">
        <f>Jawaban!T38</f>
        <v>0</v>
      </c>
      <c r="U38" s="51">
        <f>Jawaban!U38</f>
        <v>0</v>
      </c>
      <c r="V38" s="51">
        <f>Jawaban!V38</f>
        <v>0</v>
      </c>
    </row>
    <row r="39" ht="15.75" customHeight="1" spans="1:22">
      <c r="A39" s="12">
        <v>40</v>
      </c>
      <c r="B39" s="30"/>
      <c r="C39" s="35"/>
      <c r="D39" s="35"/>
      <c r="E39" s="35" t="s">
        <v>68</v>
      </c>
      <c r="F39" s="29" t="s">
        <v>171</v>
      </c>
      <c r="G39" s="30"/>
      <c r="H39" s="36">
        <v>0.5</v>
      </c>
      <c r="I39" s="37"/>
      <c r="J39" s="36"/>
      <c r="K39" s="36">
        <f>Jawaban!K39</f>
        <v>0</v>
      </c>
      <c r="L39" s="54">
        <f>Jawaban!L39</f>
        <v>0</v>
      </c>
      <c r="M39" s="55"/>
      <c r="N39" s="36"/>
      <c r="O39" s="36">
        <f>AVERAGE(O40:O42)*H39</f>
        <v>0.5</v>
      </c>
      <c r="P39" s="38">
        <f>O39/H39</f>
        <v>1</v>
      </c>
      <c r="Q39" s="39"/>
      <c r="R39" s="51">
        <f>Jawaban!R39</f>
        <v>0</v>
      </c>
      <c r="S39" s="51">
        <f>Jawaban!S39</f>
        <v>0</v>
      </c>
      <c r="T39" s="51">
        <f>Jawaban!T39</f>
        <v>0</v>
      </c>
      <c r="U39" s="51">
        <f>Jawaban!U39</f>
        <v>0</v>
      </c>
      <c r="V39" s="51">
        <f>Jawaban!V39</f>
        <v>0</v>
      </c>
    </row>
    <row r="40" ht="252" customHeight="1" spans="1:22">
      <c r="A40" s="12">
        <v>41</v>
      </c>
      <c r="B40" s="29"/>
      <c r="C40" s="35"/>
      <c r="D40" s="35"/>
      <c r="E40" s="35"/>
      <c r="F40" s="40" t="s">
        <v>54</v>
      </c>
      <c r="G40" s="41" t="s">
        <v>172</v>
      </c>
      <c r="H40" s="42"/>
      <c r="I40" s="41" t="s">
        <v>173</v>
      </c>
      <c r="J40" s="59" t="s">
        <v>57</v>
      </c>
      <c r="K40" s="44" t="str">
        <f>Jawaban!K40</f>
        <v>Ya</v>
      </c>
      <c r="L40" s="56">
        <f>Jawaban!L40</f>
        <v>0</v>
      </c>
      <c r="M40" s="41" t="s">
        <v>174</v>
      </c>
      <c r="N40" s="46" t="s">
        <v>58</v>
      </c>
      <c r="O40" s="47">
        <f t="shared" ref="O40:O42" si="11">IF(J40="Ya/Tidak",IF(N40="Ya",1,IF(N40="Tidak",0,"Blm Diisi")),IF(J40="A/B/C",IF(N40="A",1,IF(N40="B",0.5,IF(N40="C",0,"Blm Diisi"))),IF(J40="A/B/C/D",IF(N40="A",1,IF(N40="B",0.67,IF(N40="C",0.33,IF(N40="D",0,"Blm Diisi")))),IF(J40="A/B/C/D/E",IF(N40="A",1,IF(N40="B",0.75,IF(N40="C",0.5,IF(N40="D",0.25,IF(N40="E",0,"Blm Diisi"))))),IF(J40="%",IF(N40="","Blm Diisi",N40),IF(J40="Jumlah",IF(N40="","Blm Diisi",""),IF(J40="Rupiah",IF(N40="","Blm Diisi",""),IF(J40="","","-"))))))))</f>
        <v>1</v>
      </c>
      <c r="P40" s="48"/>
      <c r="Q40" s="49"/>
      <c r="R40" s="50" t="str">
        <f>Jawaban!R40</f>
        <v>a. Dalam melakukan pengembangan karier pegawai, telah dilakukan mutasi pegawai antar jabatan.</v>
      </c>
      <c r="S40" s="51">
        <f>Jawaban!S40</f>
        <v>0</v>
      </c>
      <c r="T40" s="51">
        <f>Jawaban!T40</f>
        <v>0</v>
      </c>
      <c r="U40" s="51">
        <f>Jawaban!U40</f>
        <v>0</v>
      </c>
      <c r="V40" s="51">
        <f>Jawaban!V40</f>
        <v>0</v>
      </c>
    </row>
    <row r="41" ht="378" customHeight="1" spans="1:22">
      <c r="A41" s="12">
        <v>42</v>
      </c>
      <c r="B41" s="29"/>
      <c r="C41" s="35"/>
      <c r="D41" s="35"/>
      <c r="E41" s="35"/>
      <c r="F41" s="40" t="s">
        <v>61</v>
      </c>
      <c r="G41" s="41" t="s">
        <v>176</v>
      </c>
      <c r="H41" s="42"/>
      <c r="I41" s="51" t="s">
        <v>177</v>
      </c>
      <c r="J41" s="59" t="s">
        <v>124</v>
      </c>
      <c r="K41" s="44" t="str">
        <f>Jawaban!K41</f>
        <v>A</v>
      </c>
      <c r="L41" s="56">
        <f>Jawaban!L41</f>
        <v>0</v>
      </c>
      <c r="M41" s="51" t="s">
        <v>178</v>
      </c>
      <c r="N41" s="46" t="s">
        <v>65</v>
      </c>
      <c r="O41" s="47">
        <f t="shared" si="11"/>
        <v>1</v>
      </c>
      <c r="P41" s="48"/>
      <c r="Q41" s="57"/>
      <c r="R41" s="50" t="str">
        <f>Jawaban!R41</f>
        <v>b. Dalam melakukan mutasi pegawai antar jabatan telah memperhatikan kompetensi jabatan dan mengikuti pola mutasi yang telah ditetapkan.</v>
      </c>
      <c r="S41" s="51">
        <f>Jawaban!S41</f>
        <v>0</v>
      </c>
      <c r="T41" s="51">
        <f>Jawaban!T41</f>
        <v>0</v>
      </c>
      <c r="U41" s="51">
        <f>Jawaban!U41</f>
        <v>0</v>
      </c>
      <c r="V41" s="51">
        <f>Jawaban!V41</f>
        <v>0</v>
      </c>
    </row>
    <row r="42" ht="15.75" customHeight="1" spans="1:22">
      <c r="A42" s="12">
        <v>43</v>
      </c>
      <c r="B42" s="29"/>
      <c r="C42" s="35"/>
      <c r="D42" s="35"/>
      <c r="E42" s="35"/>
      <c r="F42" s="40" t="s">
        <v>78</v>
      </c>
      <c r="G42" s="41" t="s">
        <v>180</v>
      </c>
      <c r="H42" s="42"/>
      <c r="I42" s="41" t="s">
        <v>181</v>
      </c>
      <c r="J42" s="59" t="s">
        <v>57</v>
      </c>
      <c r="K42" s="44" t="str">
        <f>Jawaban!K42</f>
        <v>Ya</v>
      </c>
      <c r="L42" s="52">
        <f>Jawaban!L42</f>
        <v>0</v>
      </c>
      <c r="M42" s="41" t="s">
        <v>182</v>
      </c>
      <c r="N42" s="46" t="s">
        <v>58</v>
      </c>
      <c r="O42" s="47">
        <f t="shared" si="11"/>
        <v>1</v>
      </c>
      <c r="P42" s="48"/>
      <c r="Q42" s="53"/>
      <c r="R42" s="50" t="str">
        <f>Jawaban!R42</f>
        <v>c. Telah dilakukan monitoring dan evaluasi terhadap kegiatan mutasi yang telah dilakukan dalam kaitannya dengan perbaikan kinerja.</v>
      </c>
      <c r="S42" s="51">
        <f>Jawaban!S42</f>
        <v>0</v>
      </c>
      <c r="T42" s="51">
        <f>Jawaban!T42</f>
        <v>0</v>
      </c>
      <c r="U42" s="51">
        <f>Jawaban!U42</f>
        <v>0</v>
      </c>
      <c r="V42" s="51">
        <f>Jawaban!V42</f>
        <v>0</v>
      </c>
    </row>
    <row r="43" ht="15.75" customHeight="1" spans="1:22">
      <c r="A43" s="12">
        <v>44</v>
      </c>
      <c r="B43" s="30"/>
      <c r="C43" s="35"/>
      <c r="D43" s="35"/>
      <c r="E43" s="35" t="s">
        <v>83</v>
      </c>
      <c r="F43" s="29" t="s">
        <v>184</v>
      </c>
      <c r="G43" s="30"/>
      <c r="H43" s="36">
        <v>1.25</v>
      </c>
      <c r="I43" s="37"/>
      <c r="J43" s="36"/>
      <c r="K43" s="36">
        <f>Jawaban!K43</f>
        <v>0</v>
      </c>
      <c r="L43" s="54">
        <f>Jawaban!L43</f>
        <v>0</v>
      </c>
      <c r="M43" s="55"/>
      <c r="N43" s="36"/>
      <c r="O43" s="36">
        <f>AVERAGE(O44:O49)*H43</f>
        <v>1.25</v>
      </c>
      <c r="P43" s="38">
        <f>O43/H43</f>
        <v>1</v>
      </c>
      <c r="Q43" s="39"/>
      <c r="R43" s="51">
        <f>Jawaban!R43</f>
        <v>0</v>
      </c>
      <c r="S43" s="51">
        <f>Jawaban!S43</f>
        <v>0</v>
      </c>
      <c r="T43" s="51">
        <f>Jawaban!T43</f>
        <v>0</v>
      </c>
      <c r="U43" s="51">
        <f>Jawaban!U43</f>
        <v>0</v>
      </c>
      <c r="V43" s="51">
        <f>Jawaban!V43</f>
        <v>0</v>
      </c>
    </row>
    <row r="44" ht="15.75" customHeight="1" spans="1:22">
      <c r="A44" s="12">
        <v>45</v>
      </c>
      <c r="B44" s="29"/>
      <c r="C44" s="35"/>
      <c r="D44" s="35"/>
      <c r="E44" s="35"/>
      <c r="F44" s="40" t="s">
        <v>54</v>
      </c>
      <c r="G44" s="41" t="s">
        <v>185</v>
      </c>
      <c r="H44" s="42"/>
      <c r="I44" s="41" t="s">
        <v>186</v>
      </c>
      <c r="J44" s="59" t="s">
        <v>57</v>
      </c>
      <c r="K44" s="44" t="str">
        <f>Jawaban!K44</f>
        <v>Ya</v>
      </c>
      <c r="L44" s="52">
        <f>Jawaban!L44</f>
        <v>0</v>
      </c>
      <c r="M44" s="41" t="s">
        <v>187</v>
      </c>
      <c r="N44" s="46" t="s">
        <v>58</v>
      </c>
      <c r="O44" s="47">
        <f t="shared" ref="O44:O49" si="12">IF(J44="Ya/Tidak",IF(N44="Ya",1,IF(N44="Tidak",0,"Blm Diisi")),IF(J44="A/B/C",IF(N44="A",1,IF(N44="B",0.5,IF(N44="C",0,"Blm Diisi"))),IF(J44="A/B/C/D",IF(N44="A",1,IF(N44="B",0.67,IF(N44="C",0.33,IF(N44="D",0,"Blm Diisi")))),IF(J44="A/B/C/D/E",IF(N44="A",1,IF(N44="B",0.75,IF(N44="C",0.5,IF(N44="D",0.25,IF(N44="E",0,"Blm Diisi"))))),IF(J44="%",IF(N44="","Blm Diisi",N44),IF(J44="Jumlah",IF(N44="","Blm Diisi",""),IF(J44="Rupiah",IF(N44="","Blm Diisi",""),IF(J44="","","-"))))))))</f>
        <v>1</v>
      </c>
      <c r="P44" s="48"/>
      <c r="Q44" s="75"/>
      <c r="R44" s="50" t="str">
        <f>Jawaban!R44</f>
        <v>a. Unit Kerja melakukan Training Need Analysis Untuk pengembangan kompetensi.</v>
      </c>
      <c r="S44" s="51">
        <f>Jawaban!S44</f>
        <v>0</v>
      </c>
      <c r="T44" s="51">
        <f>Jawaban!T44</f>
        <v>0</v>
      </c>
      <c r="U44" s="51">
        <f>Jawaban!U44</f>
        <v>0</v>
      </c>
      <c r="V44" s="51">
        <f>Jawaban!V44</f>
        <v>0</v>
      </c>
    </row>
    <row r="45" ht="15.75" customHeight="1" spans="1:22">
      <c r="A45" s="12">
        <v>46</v>
      </c>
      <c r="B45" s="29"/>
      <c r="C45" s="35"/>
      <c r="D45" s="35"/>
      <c r="E45" s="35"/>
      <c r="F45" s="40" t="s">
        <v>61</v>
      </c>
      <c r="G45" s="41" t="s">
        <v>189</v>
      </c>
      <c r="H45" s="42"/>
      <c r="I45" s="51" t="s">
        <v>190</v>
      </c>
      <c r="J45" s="59" t="s">
        <v>87</v>
      </c>
      <c r="K45" s="44" t="str">
        <f>Jawaban!K45</f>
        <v>A</v>
      </c>
      <c r="L45" s="52">
        <f>Jawaban!L45</f>
        <v>0</v>
      </c>
      <c r="M45" s="41" t="s">
        <v>191</v>
      </c>
      <c r="N45" s="46" t="s">
        <v>65</v>
      </c>
      <c r="O45" s="47">
        <f t="shared" si="12"/>
        <v>1</v>
      </c>
      <c r="P45" s="48"/>
      <c r="Q45" s="57"/>
      <c r="R45" s="50" t="str">
        <f>Jawaban!R45</f>
        <v>b. Dalam menyusun rencana pengembangan kompetensi pegawai, telah mempertimbangkan hasil pengelolaan kinerja pegawai.</v>
      </c>
      <c r="S45" s="51">
        <f>Jawaban!S45</f>
        <v>0</v>
      </c>
      <c r="T45" s="51">
        <f>Jawaban!T45</f>
        <v>0</v>
      </c>
      <c r="U45" s="51">
        <f>Jawaban!U45</f>
        <v>0</v>
      </c>
      <c r="V45" s="51">
        <f>Jawaban!V45</f>
        <v>0</v>
      </c>
    </row>
    <row r="46" ht="15.75" customHeight="1" spans="1:22">
      <c r="A46" s="12">
        <v>47</v>
      </c>
      <c r="B46" s="29"/>
      <c r="C46" s="35"/>
      <c r="D46" s="35"/>
      <c r="E46" s="35"/>
      <c r="F46" s="40" t="s">
        <v>78</v>
      </c>
      <c r="G46" s="41" t="s">
        <v>193</v>
      </c>
      <c r="H46" s="42"/>
      <c r="I46" s="51" t="s">
        <v>194</v>
      </c>
      <c r="J46" s="59" t="s">
        <v>87</v>
      </c>
      <c r="K46" s="44" t="str">
        <f>Jawaban!K46</f>
        <v>A</v>
      </c>
      <c r="L46" s="52">
        <f>Jawaban!L46</f>
        <v>0</v>
      </c>
      <c r="M46" s="51" t="s">
        <v>195</v>
      </c>
      <c r="N46" s="46" t="s">
        <v>65</v>
      </c>
      <c r="O46" s="47">
        <f t="shared" si="12"/>
        <v>1</v>
      </c>
      <c r="P46" s="48"/>
      <c r="Q46" s="57"/>
      <c r="R46" s="50" t="str">
        <f>Jawaban!R46</f>
        <v>c.  Tingkat kesenjangan kompetensi pegawai yang ada dengan standar kompetensi yang ditetapkan untuk masing-masing jabatan. </v>
      </c>
      <c r="S46" s="51">
        <f>Jawaban!S46</f>
        <v>0</v>
      </c>
      <c r="T46" s="51">
        <f>Jawaban!T46</f>
        <v>0</v>
      </c>
      <c r="U46" s="51">
        <f>Jawaban!U46</f>
        <v>0</v>
      </c>
      <c r="V46" s="51">
        <f>Jawaban!V46</f>
        <v>0</v>
      </c>
    </row>
    <row r="47" ht="259.5" customHeight="1" spans="1:22">
      <c r="A47" s="12">
        <v>48</v>
      </c>
      <c r="B47" s="29"/>
      <c r="C47" s="35"/>
      <c r="D47" s="35"/>
      <c r="E47" s="35"/>
      <c r="F47" s="40" t="s">
        <v>112</v>
      </c>
      <c r="G47" s="41" t="s">
        <v>197</v>
      </c>
      <c r="H47" s="42"/>
      <c r="I47" s="51" t="s">
        <v>198</v>
      </c>
      <c r="J47" s="59" t="s">
        <v>87</v>
      </c>
      <c r="K47" s="44" t="str">
        <f>Jawaban!K47</f>
        <v>A</v>
      </c>
      <c r="L47" s="52">
        <f>Jawaban!L47</f>
        <v>0</v>
      </c>
      <c r="M47" s="51" t="s">
        <v>199</v>
      </c>
      <c r="N47" s="46" t="s">
        <v>65</v>
      </c>
      <c r="O47" s="47">
        <f t="shared" si="12"/>
        <v>1</v>
      </c>
      <c r="P47" s="48"/>
      <c r="Q47" s="57"/>
      <c r="R47" s="50" t="str">
        <f>Jawaban!R47</f>
        <v>d. Pegawai di Unit Kerja telah memperoleh kesempatan/hak untuk mengikuti diklat maupun pengembangan kompetensi lainnya. </v>
      </c>
      <c r="S47" s="51">
        <f>Jawaban!S47</f>
        <v>0</v>
      </c>
      <c r="T47" s="51">
        <f>Jawaban!T47</f>
        <v>0</v>
      </c>
      <c r="U47" s="51">
        <f>Jawaban!U47</f>
        <v>0</v>
      </c>
      <c r="V47" s="51">
        <f>Jawaban!V47</f>
        <v>0</v>
      </c>
    </row>
    <row r="48" ht="334.5" customHeight="1" spans="1:22">
      <c r="A48" s="12">
        <v>49</v>
      </c>
      <c r="B48" s="29"/>
      <c r="C48" s="35"/>
      <c r="D48" s="35"/>
      <c r="E48" s="35"/>
      <c r="F48" s="40" t="s">
        <v>201</v>
      </c>
      <c r="G48" s="41" t="s">
        <v>202</v>
      </c>
      <c r="H48" s="42"/>
      <c r="I48" s="51" t="s">
        <v>203</v>
      </c>
      <c r="J48" s="59" t="s">
        <v>87</v>
      </c>
      <c r="K48" s="44" t="str">
        <f>Jawaban!K48</f>
        <v>A</v>
      </c>
      <c r="L48" s="52">
        <f>Jawaban!L48</f>
        <v>0</v>
      </c>
      <c r="M48" s="51" t="s">
        <v>204</v>
      </c>
      <c r="N48" s="46" t="s">
        <v>65</v>
      </c>
      <c r="O48" s="47">
        <f t="shared" si="12"/>
        <v>1</v>
      </c>
      <c r="P48" s="48"/>
      <c r="Q48" s="76"/>
      <c r="R48" s="50" t="str">
        <f>Jawaban!R48</f>
        <v>e. Dalam pelaksanaan pengembangan kompetensi, unit kerja melakukan upaya pengembangan kompetensi kepada pegawai (seperti pengikutsertaan pada lembaga pelatihan, in-house training, coaching, atau mentoring). </v>
      </c>
      <c r="S48" s="51">
        <f>Jawaban!S48</f>
        <v>0</v>
      </c>
      <c r="T48" s="51">
        <f>Jawaban!T48</f>
        <v>0</v>
      </c>
      <c r="U48" s="51">
        <f>Jawaban!U48</f>
        <v>0</v>
      </c>
      <c r="V48" s="51">
        <f>Jawaban!V48</f>
        <v>0</v>
      </c>
    </row>
    <row r="49" ht="315" customHeight="1" spans="1:22">
      <c r="A49" s="12">
        <v>50</v>
      </c>
      <c r="B49" s="29"/>
      <c r="C49" s="35"/>
      <c r="D49" s="35"/>
      <c r="E49" s="35"/>
      <c r="F49" s="40" t="s">
        <v>206</v>
      </c>
      <c r="G49" s="41" t="s">
        <v>207</v>
      </c>
      <c r="H49" s="42"/>
      <c r="I49" s="51" t="s">
        <v>208</v>
      </c>
      <c r="J49" s="59" t="s">
        <v>64</v>
      </c>
      <c r="K49" s="44" t="str">
        <f>Jawaban!K49</f>
        <v>A</v>
      </c>
      <c r="L49" s="52">
        <f>Jawaban!L49</f>
        <v>0</v>
      </c>
      <c r="M49" s="51" t="s">
        <v>209</v>
      </c>
      <c r="N49" s="46" t="s">
        <v>65</v>
      </c>
      <c r="O49" s="47">
        <f t="shared" si="12"/>
        <v>1</v>
      </c>
      <c r="P49" s="48"/>
      <c r="Q49" s="77"/>
      <c r="R49" s="50" t="str">
        <f>Jawaban!R49</f>
        <v>f. Telah dilakukan monitoring dan evaluasi terhadap hasil pengembangan kompetensi dalam kaitannya dengan perbaikan kinerja.</v>
      </c>
      <c r="S49" s="51">
        <f>Jawaban!S49</f>
        <v>0</v>
      </c>
      <c r="T49" s="51">
        <f>Jawaban!T49</f>
        <v>0</v>
      </c>
      <c r="U49" s="51">
        <f>Jawaban!U49</f>
        <v>0</v>
      </c>
      <c r="V49" s="51">
        <f>Jawaban!V49</f>
        <v>0</v>
      </c>
    </row>
    <row r="50" ht="15.75" customHeight="1" spans="1:22">
      <c r="A50" s="12">
        <v>51</v>
      </c>
      <c r="B50" s="30"/>
      <c r="C50" s="35"/>
      <c r="D50" s="35"/>
      <c r="E50" s="35" t="s">
        <v>98</v>
      </c>
      <c r="F50" s="29" t="s">
        <v>211</v>
      </c>
      <c r="G50" s="30"/>
      <c r="H50" s="36">
        <v>2</v>
      </c>
      <c r="I50" s="37" t="s">
        <v>212</v>
      </c>
      <c r="J50" s="36"/>
      <c r="K50" s="36">
        <f>Jawaban!K50</f>
        <v>0</v>
      </c>
      <c r="L50" s="54">
        <f>Jawaban!L50</f>
        <v>0</v>
      </c>
      <c r="M50" s="55"/>
      <c r="N50" s="36"/>
      <c r="O50" s="36">
        <f>AVERAGE(O51:O54)*H50</f>
        <v>2</v>
      </c>
      <c r="P50" s="38">
        <f>O50/H50</f>
        <v>1</v>
      </c>
      <c r="Q50" s="39"/>
      <c r="R50" s="51">
        <f>Jawaban!R50</f>
        <v>0</v>
      </c>
      <c r="S50" s="51">
        <f>Jawaban!S50</f>
        <v>0</v>
      </c>
      <c r="T50" s="51">
        <f>Jawaban!T50</f>
        <v>0</v>
      </c>
      <c r="U50" s="51">
        <f>Jawaban!U50</f>
        <v>0</v>
      </c>
      <c r="V50" s="51">
        <f>Jawaban!V50</f>
        <v>0</v>
      </c>
    </row>
    <row r="51" ht="15.75" customHeight="1" spans="1:22">
      <c r="A51" s="12">
        <v>52</v>
      </c>
      <c r="B51" s="29"/>
      <c r="C51" s="35"/>
      <c r="D51" s="35"/>
      <c r="E51" s="35"/>
      <c r="F51" s="40" t="s">
        <v>54</v>
      </c>
      <c r="G51" s="41" t="s">
        <v>213</v>
      </c>
      <c r="H51" s="42"/>
      <c r="I51" s="51" t="s">
        <v>214</v>
      </c>
      <c r="J51" s="59" t="s">
        <v>87</v>
      </c>
      <c r="K51" s="44" t="str">
        <f>Jawaban!K51</f>
        <v>A</v>
      </c>
      <c r="L51" s="56">
        <f>Jawaban!L51</f>
        <v>0</v>
      </c>
      <c r="M51" s="51" t="s">
        <v>215</v>
      </c>
      <c r="N51" s="46" t="s">
        <v>65</v>
      </c>
      <c r="O51" s="47">
        <f t="shared" ref="O51:O54" si="13">IF(J51="Ya/Tidak",IF(N51="Ya",1,IF(N51="Tidak",0,"Blm Diisi")),IF(J51="A/B/C",IF(N51="A",1,IF(N51="B",0.5,IF(N51="C",0,"Blm Diisi"))),IF(J51="A/B/C/D",IF(N51="A",1,IF(N51="B",0.67,IF(N51="C",0.33,IF(N51="D",0,"Blm Diisi")))),IF(J51="A/B/C/D/E",IF(N51="A",1,IF(N51="B",0.75,IF(N51="C",0.5,IF(N51="D",0.25,IF(N51="E",0,"Blm Diisi"))))),IF(J51="%",IF(N51="","Blm Diisi",N51),IF(J51="Jumlah",IF(N51="","Blm Diisi",""),IF(J51="Rupiah",IF(N51="","Blm Diisi",""),IF(J51="","","-"))))))))</f>
        <v>1</v>
      </c>
      <c r="P51" s="48"/>
      <c r="Q51" s="49"/>
      <c r="R51" s="50" t="str">
        <f>Jawaban!R51</f>
        <v>a. Terdapat penetapan kinerja individu yang terkait dengan perjanjian kinerja organisasi</v>
      </c>
      <c r="S51" s="51">
        <f>Jawaban!S51</f>
        <v>0</v>
      </c>
      <c r="T51" s="51">
        <f>Jawaban!T51</f>
        <v>0</v>
      </c>
      <c r="U51" s="51">
        <f>Jawaban!U51</f>
        <v>0</v>
      </c>
      <c r="V51" s="51">
        <f>Jawaban!V51</f>
        <v>0</v>
      </c>
    </row>
    <row r="52" ht="15.75" customHeight="1" spans="1:22">
      <c r="A52" s="12">
        <v>53</v>
      </c>
      <c r="B52" s="29"/>
      <c r="C52" s="35"/>
      <c r="D52" s="35"/>
      <c r="E52" s="35"/>
      <c r="F52" s="40" t="s">
        <v>61</v>
      </c>
      <c r="G52" s="41" t="s">
        <v>217</v>
      </c>
      <c r="H52" s="42"/>
      <c r="I52" s="51" t="s">
        <v>218</v>
      </c>
      <c r="J52" s="59" t="s">
        <v>87</v>
      </c>
      <c r="K52" s="44" t="str">
        <f>Jawaban!K52</f>
        <v>A</v>
      </c>
      <c r="L52" s="52">
        <f>Jawaban!L52</f>
        <v>0</v>
      </c>
      <c r="M52" s="51" t="s">
        <v>219</v>
      </c>
      <c r="N52" s="46" t="s">
        <v>65</v>
      </c>
      <c r="O52" s="47">
        <f t="shared" si="13"/>
        <v>1</v>
      </c>
      <c r="P52" s="48"/>
      <c r="Q52" s="53"/>
      <c r="R52" s="50" t="str">
        <f>Jawaban!R52</f>
        <v>b. Ukuran kinerja individu telah memiliki kesesuaian dengan indikator kinerja individu level diatasnya.</v>
      </c>
      <c r="S52" s="51">
        <f>Jawaban!S52</f>
        <v>0</v>
      </c>
      <c r="T52" s="51">
        <f>Jawaban!T52</f>
        <v>0</v>
      </c>
      <c r="U52" s="51">
        <f>Jawaban!U52</f>
        <v>0</v>
      </c>
      <c r="V52" s="51">
        <f>Jawaban!V52</f>
        <v>0</v>
      </c>
    </row>
    <row r="53" ht="15.75" customHeight="1" spans="1:22">
      <c r="A53" s="12">
        <v>54</v>
      </c>
      <c r="B53" s="29"/>
      <c r="C53" s="35"/>
      <c r="D53" s="35"/>
      <c r="E53" s="35"/>
      <c r="F53" s="40" t="s">
        <v>78</v>
      </c>
      <c r="G53" s="41" t="s">
        <v>221</v>
      </c>
      <c r="H53" s="42"/>
      <c r="I53" s="51" t="s">
        <v>222</v>
      </c>
      <c r="J53" s="59" t="s">
        <v>124</v>
      </c>
      <c r="K53" s="44" t="str">
        <f>Jawaban!K53</f>
        <v>A</v>
      </c>
      <c r="L53" s="51">
        <f>Jawaban!L53</f>
        <v>0</v>
      </c>
      <c r="M53" s="51" t="s">
        <v>223</v>
      </c>
      <c r="N53" s="46" t="s">
        <v>65</v>
      </c>
      <c r="O53" s="47">
        <f t="shared" si="13"/>
        <v>1</v>
      </c>
      <c r="P53" s="48"/>
      <c r="Q53" s="53"/>
      <c r="R53" s="50" t="str">
        <f>Jawaban!R53</f>
        <v>c. Pengukuran kinerja individu dilakukan secara periodik.</v>
      </c>
      <c r="S53" s="51">
        <f>Jawaban!S53</f>
        <v>0</v>
      </c>
      <c r="T53" s="51">
        <f>Jawaban!T53</f>
        <v>0</v>
      </c>
      <c r="U53" s="51">
        <f>Jawaban!U53</f>
        <v>0</v>
      </c>
      <c r="V53" s="51">
        <f>Jawaban!V53</f>
        <v>0</v>
      </c>
    </row>
    <row r="54" ht="130.5" customHeight="1" spans="1:22">
      <c r="A54" s="12">
        <v>55</v>
      </c>
      <c r="B54" s="29"/>
      <c r="C54" s="35"/>
      <c r="D54" s="35"/>
      <c r="E54" s="35"/>
      <c r="F54" s="40" t="s">
        <v>112</v>
      </c>
      <c r="G54" s="41" t="s">
        <v>225</v>
      </c>
      <c r="H54" s="42"/>
      <c r="I54" s="41" t="s">
        <v>226</v>
      </c>
      <c r="J54" s="59" t="s">
        <v>57</v>
      </c>
      <c r="K54" s="44" t="str">
        <f>Jawaban!K54</f>
        <v>Ya</v>
      </c>
      <c r="L54" s="56">
        <f>Jawaban!L54</f>
        <v>0</v>
      </c>
      <c r="M54" s="41" t="s">
        <v>227</v>
      </c>
      <c r="N54" s="46" t="s">
        <v>58</v>
      </c>
      <c r="O54" s="47">
        <f t="shared" si="13"/>
        <v>1</v>
      </c>
      <c r="P54" s="48"/>
      <c r="Q54" s="72"/>
      <c r="R54" s="50" t="str">
        <f>Jawaban!R54</f>
        <v>d. Hasil penilaian kinerja individu telah dijadikan dasar untuk pemberian reward.</v>
      </c>
      <c r="S54" s="51">
        <f>Jawaban!S54</f>
        <v>0</v>
      </c>
      <c r="T54" s="51">
        <f>Jawaban!T54</f>
        <v>0</v>
      </c>
      <c r="U54" s="51">
        <f>Jawaban!U54</f>
        <v>0</v>
      </c>
      <c r="V54" s="51">
        <f>Jawaban!V54</f>
        <v>0</v>
      </c>
    </row>
    <row r="55" ht="15.75" customHeight="1" spans="1:22">
      <c r="A55" s="12">
        <v>56</v>
      </c>
      <c r="B55" s="30"/>
      <c r="C55" s="35"/>
      <c r="D55" s="35"/>
      <c r="E55" s="35" t="s">
        <v>229</v>
      </c>
      <c r="F55" s="29" t="s">
        <v>230</v>
      </c>
      <c r="G55" s="30"/>
      <c r="H55" s="36">
        <v>0.75</v>
      </c>
      <c r="I55" s="37"/>
      <c r="J55" s="36"/>
      <c r="K55" s="36">
        <f>Jawaban!K55</f>
        <v>0</v>
      </c>
      <c r="L55" s="54">
        <f>Jawaban!L55</f>
        <v>0</v>
      </c>
      <c r="M55" s="55"/>
      <c r="N55" s="36"/>
      <c r="O55" s="36">
        <f>AVERAGE(O56)*H55</f>
        <v>0.75</v>
      </c>
      <c r="P55" s="38">
        <f>O55/H55</f>
        <v>1</v>
      </c>
      <c r="Q55" s="39"/>
      <c r="R55" s="51">
        <f>Jawaban!R55</f>
        <v>0</v>
      </c>
      <c r="S55" s="51">
        <f>Jawaban!S55</f>
        <v>0</v>
      </c>
      <c r="T55" s="51">
        <f>Jawaban!T55</f>
        <v>0</v>
      </c>
      <c r="U55" s="51">
        <f>Jawaban!U55</f>
        <v>0</v>
      </c>
      <c r="V55" s="51">
        <f>Jawaban!V55</f>
        <v>0</v>
      </c>
    </row>
    <row r="56" ht="321.75" customHeight="1" spans="1:22">
      <c r="A56" s="62">
        <v>57</v>
      </c>
      <c r="B56" s="63"/>
      <c r="C56" s="64"/>
      <c r="D56" s="64"/>
      <c r="E56" s="64"/>
      <c r="F56" s="320" t="s">
        <v>54</v>
      </c>
      <c r="G56" s="66" t="s">
        <v>231</v>
      </c>
      <c r="H56" s="67"/>
      <c r="I56" s="68" t="s">
        <v>603</v>
      </c>
      <c r="J56" s="69" t="s">
        <v>87</v>
      </c>
      <c r="K56" s="44" t="str">
        <f>Jawaban!K56</f>
        <v>A</v>
      </c>
      <c r="L56" s="70">
        <f>Jawaban!L56</f>
        <v>0</v>
      </c>
      <c r="M56" s="51" t="s">
        <v>233</v>
      </c>
      <c r="N56" s="46" t="s">
        <v>65</v>
      </c>
      <c r="O56" s="47">
        <f>IF(J56="Ya/Tidak",IF(N56="Ya",1,IF(N56="Tidak",0,"Blm Diisi")),IF(J56="A/B/C",IF(N56="A",1,IF(N56="B",0.5,IF(N56="C",0,"Blm Diisi"))),IF(J56="A/B/C/D",IF(N56="A",1,IF(N56="B",0.67,IF(N56="C",0.33,IF(N56="D",0,"Blm Diisi")))),IF(J56="A/B/C/D/E",IF(N56="A",1,IF(N56="B",0.75,IF(N56="C",0.5,IF(N56="D",0.25,IF(N56="E",0,"Blm Diisi"))))),IF(J56="%",IF(N56="","Blm Diisi",N56),IF(J56="Jumlah",IF(N56="","Blm Diisi",""),IF(J56="Rupiah",IF(N56="","Blm Diisi",""),IF(J56="","","-"))))))))</f>
        <v>1</v>
      </c>
      <c r="P56" s="48"/>
      <c r="Q56" s="71"/>
      <c r="R56" s="50" t="str">
        <f>Jawaban!R56</f>
        <v>a. "Aturan disiplin/kode etik/kode perilaku telah dilaksanakan/ diimplementasikan."</v>
      </c>
      <c r="S56" s="51">
        <f>Jawaban!S56</f>
        <v>0</v>
      </c>
      <c r="T56" s="51">
        <f>Jawaban!T56</f>
        <v>0</v>
      </c>
      <c r="U56" s="51">
        <f>Jawaban!U56</f>
        <v>0</v>
      </c>
      <c r="V56" s="51">
        <f>Jawaban!V56</f>
        <v>0</v>
      </c>
    </row>
    <row r="57" ht="15.75" customHeight="1" spans="1:22">
      <c r="A57" s="12">
        <v>58</v>
      </c>
      <c r="B57" s="30"/>
      <c r="C57" s="35"/>
      <c r="D57" s="35"/>
      <c r="E57" s="35" t="s">
        <v>235</v>
      </c>
      <c r="F57" s="29" t="s">
        <v>236</v>
      </c>
      <c r="G57" s="30"/>
      <c r="H57" s="36">
        <v>0.25</v>
      </c>
      <c r="I57" s="37"/>
      <c r="J57" s="36"/>
      <c r="K57" s="36">
        <f>Jawaban!K57</f>
        <v>0</v>
      </c>
      <c r="L57" s="54">
        <f>Jawaban!L57</f>
        <v>0</v>
      </c>
      <c r="M57" s="55"/>
      <c r="N57" s="36"/>
      <c r="O57" s="36">
        <f>AVERAGE(O58)*H57</f>
        <v>0.25</v>
      </c>
      <c r="P57" s="38">
        <f>O57/H57</f>
        <v>1</v>
      </c>
      <c r="Q57" s="39"/>
      <c r="R57" s="51">
        <f>Jawaban!R57</f>
        <v>0</v>
      </c>
      <c r="S57" s="51">
        <f>Jawaban!S57</f>
        <v>0</v>
      </c>
      <c r="T57" s="51">
        <f>Jawaban!T57</f>
        <v>0</v>
      </c>
      <c r="U57" s="51">
        <f>Jawaban!U57</f>
        <v>0</v>
      </c>
      <c r="V57" s="51">
        <f>Jawaban!V57</f>
        <v>0</v>
      </c>
    </row>
    <row r="58" ht="15.75" customHeight="1" spans="1:22">
      <c r="A58" s="12">
        <v>59</v>
      </c>
      <c r="B58" s="29"/>
      <c r="C58" s="35"/>
      <c r="D58" s="35"/>
      <c r="E58" s="35"/>
      <c r="F58" s="321" t="s">
        <v>54</v>
      </c>
      <c r="G58" s="41" t="s">
        <v>237</v>
      </c>
      <c r="H58" s="42"/>
      <c r="I58" s="51" t="s">
        <v>238</v>
      </c>
      <c r="J58" s="59" t="s">
        <v>64</v>
      </c>
      <c r="K58" s="44" t="str">
        <f>Jawaban!K58</f>
        <v>A</v>
      </c>
      <c r="L58" s="51">
        <f>Jawaban!L58</f>
        <v>0</v>
      </c>
      <c r="M58" s="51" t="s">
        <v>239</v>
      </c>
      <c r="N58" s="46" t="s">
        <v>65</v>
      </c>
      <c r="O58" s="47">
        <f>IF(J58="Ya/Tidak",IF(N58="Ya",1,IF(N58="Tidak",0,"Blm Diisi")),IF(J58="A/B/C",IF(N58="A",1,IF(N58="B",0.5,IF(N58="C",0,"Blm Diisi"))),IF(J58="A/B/C/D",IF(N58="A",1,IF(N58="B",0.67,IF(N58="C",0.33,IF(N58="D",0,"Blm Diisi")))),IF(J58="A/B/C/D/E",IF(N58="A",1,IF(N58="B",0.75,IF(N58="C",0.5,IF(N58="D",0.25,IF(N58="E",0,"Blm Diisi"))))),IF(J58="%",IF(N58="","Blm Diisi",N58),IF(J58="Jumlah",IF(N58="","Blm Diisi",""),IF(J58="Rupiah",IF(N58="","Blm Diisi",""),IF(J58="","","-"))))))))</f>
        <v>1</v>
      </c>
      <c r="P58" s="48"/>
      <c r="Q58" s="71"/>
      <c r="R58" s="50" t="str">
        <f>Jawaban!R58</f>
        <v>a. Data informasi kepegawaian unit kerja telah dimutakhirkan secara berkala.</v>
      </c>
      <c r="S58" s="51">
        <f>Jawaban!S58</f>
        <v>0</v>
      </c>
      <c r="T58" s="51">
        <f>Jawaban!T58</f>
        <v>0</v>
      </c>
      <c r="U58" s="51">
        <f>Jawaban!U58</f>
        <v>0</v>
      </c>
      <c r="V58" s="51">
        <f>Jawaban!V58</f>
        <v>0</v>
      </c>
    </row>
    <row r="59" ht="15.75" customHeight="1" spans="1:22">
      <c r="A59" s="12">
        <v>60</v>
      </c>
      <c r="B59" s="26"/>
      <c r="C59" s="61"/>
      <c r="D59" s="28" t="s">
        <v>17</v>
      </c>
      <c r="E59" s="29" t="s">
        <v>18</v>
      </c>
      <c r="F59" s="29"/>
      <c r="G59" s="30"/>
      <c r="H59" s="31">
        <v>5</v>
      </c>
      <c r="I59" s="32"/>
      <c r="J59" s="31"/>
      <c r="K59" s="31">
        <f>Jawaban!K59</f>
        <v>0</v>
      </c>
      <c r="L59" s="54">
        <f>Jawaban!L59</f>
        <v>0</v>
      </c>
      <c r="M59" s="55"/>
      <c r="N59" s="31"/>
      <c r="O59" s="31">
        <f>SUM(O60,O64)</f>
        <v>5</v>
      </c>
      <c r="P59" s="33">
        <f t="shared" ref="P59:P60" si="14">O59/H59</f>
        <v>1</v>
      </c>
      <c r="Q59" s="34"/>
      <c r="R59" s="51">
        <f>Jawaban!R59</f>
        <v>0</v>
      </c>
      <c r="S59" s="51">
        <f>Jawaban!S59</f>
        <v>0</v>
      </c>
      <c r="T59" s="51">
        <f>Jawaban!T59</f>
        <v>0</v>
      </c>
      <c r="U59" s="51">
        <f>Jawaban!U59</f>
        <v>0</v>
      </c>
      <c r="V59" s="51">
        <f>Jawaban!V59</f>
        <v>0</v>
      </c>
    </row>
    <row r="60" ht="15.75" customHeight="1" spans="1:22">
      <c r="A60" s="12">
        <v>61</v>
      </c>
      <c r="B60" s="30"/>
      <c r="C60" s="35"/>
      <c r="D60" s="35"/>
      <c r="E60" s="35" t="s">
        <v>52</v>
      </c>
      <c r="F60" s="29" t="s">
        <v>241</v>
      </c>
      <c r="G60" s="30"/>
      <c r="H60" s="36">
        <v>2.5</v>
      </c>
      <c r="I60" s="37"/>
      <c r="J60" s="36"/>
      <c r="K60" s="36">
        <f>Jawaban!K60</f>
        <v>0</v>
      </c>
      <c r="L60" s="54">
        <f>Jawaban!L60</f>
        <v>0</v>
      </c>
      <c r="M60" s="55"/>
      <c r="N60" s="36"/>
      <c r="O60" s="36">
        <f>AVERAGE(O61:O63)*H60</f>
        <v>2.5</v>
      </c>
      <c r="P60" s="38">
        <f t="shared" si="14"/>
        <v>1</v>
      </c>
      <c r="Q60" s="39"/>
      <c r="R60" s="51">
        <f>Jawaban!R60</f>
        <v>0</v>
      </c>
      <c r="S60" s="51">
        <f>Jawaban!S60</f>
        <v>0</v>
      </c>
      <c r="T60" s="51">
        <f>Jawaban!T60</f>
        <v>0</v>
      </c>
      <c r="U60" s="51">
        <f>Jawaban!U60</f>
        <v>0</v>
      </c>
      <c r="V60" s="51">
        <f>Jawaban!V60</f>
        <v>0</v>
      </c>
    </row>
    <row r="61" ht="15.75" customHeight="1" spans="1:22">
      <c r="A61" s="12">
        <v>62</v>
      </c>
      <c r="B61" s="29"/>
      <c r="C61" s="35"/>
      <c r="D61" s="35"/>
      <c r="E61" s="35"/>
      <c r="F61" s="40" t="s">
        <v>54</v>
      </c>
      <c r="G61" s="41" t="s">
        <v>242</v>
      </c>
      <c r="H61" s="42"/>
      <c r="I61" s="51" t="s">
        <v>243</v>
      </c>
      <c r="J61" s="59" t="s">
        <v>64</v>
      </c>
      <c r="K61" s="44" t="str">
        <f>Jawaban!K61</f>
        <v>A</v>
      </c>
      <c r="L61" s="56">
        <f>Jawaban!L61</f>
        <v>0</v>
      </c>
      <c r="M61" s="51" t="s">
        <v>244</v>
      </c>
      <c r="N61" s="46" t="s">
        <v>65</v>
      </c>
      <c r="O61" s="47">
        <f t="shared" ref="O61:O63" si="15">IF(J61="Ya/Tidak",IF(N61="Ya",1,IF(N61="Tidak",0,"Blm Diisi")),IF(J61="A/B/C",IF(N61="A",1,IF(N61="B",0.5,IF(N61="C",0,"Blm Diisi"))),IF(J61="A/B/C/D",IF(N61="A",1,IF(N61="B",0.67,IF(N61="C",0.33,IF(N61="D",0,"Blm Diisi")))),IF(J61="A/B/C/D/E",IF(N61="A",1,IF(N61="B",0.75,IF(N61="C",0.5,IF(N61="D",0.25,IF(N61="E",0,"Blm Diisi"))))),IF(J61="%",IF(N61="","Blm Diisi",N61),IF(J61="Jumlah",IF(N61="","Blm Diisi",""),IF(J61="Rupiah",IF(N61="","Blm Diisi",""),IF(J61="","","-"))))))))</f>
        <v>1</v>
      </c>
      <c r="P61" s="48"/>
      <c r="Q61" s="49"/>
      <c r="R61" s="50" t="str">
        <f>Jawaban!R61</f>
        <v>a. Unit kerja telah melibatkan pimpinan secara langsung pada saat penyusunan perencanaan. </v>
      </c>
      <c r="S61" s="51">
        <f>Jawaban!S61</f>
        <v>0</v>
      </c>
      <c r="T61" s="51">
        <f>Jawaban!T61</f>
        <v>0</v>
      </c>
      <c r="U61" s="51">
        <f>Jawaban!U61</f>
        <v>0</v>
      </c>
      <c r="V61" s="51">
        <f>Jawaban!V61</f>
        <v>0</v>
      </c>
    </row>
    <row r="62" ht="15.75" customHeight="1" spans="1:22">
      <c r="A62" s="12">
        <v>63</v>
      </c>
      <c r="B62" s="29"/>
      <c r="C62" s="35"/>
      <c r="D62" s="35"/>
      <c r="E62" s="35"/>
      <c r="F62" s="40" t="s">
        <v>61</v>
      </c>
      <c r="G62" s="41" t="s">
        <v>246</v>
      </c>
      <c r="H62" s="42"/>
      <c r="I62" s="51" t="s">
        <v>247</v>
      </c>
      <c r="J62" s="59" t="s">
        <v>64</v>
      </c>
      <c r="K62" s="44" t="str">
        <f>Jawaban!K62</f>
        <v>A</v>
      </c>
      <c r="L62" s="56">
        <f>Jawaban!L62</f>
        <v>0</v>
      </c>
      <c r="M62" s="51" t="s">
        <v>248</v>
      </c>
      <c r="N62" s="46" t="s">
        <v>65</v>
      </c>
      <c r="O62" s="47">
        <f t="shared" si="15"/>
        <v>1</v>
      </c>
      <c r="P62" s="48"/>
      <c r="Q62" s="57"/>
      <c r="R62" s="50" t="str">
        <f>Jawaban!R62</f>
        <v>b. Unit kerja telah melibatkan secara langsung pimpinan saat penyusunan penetapan kinerja. </v>
      </c>
      <c r="S62" s="51">
        <f>Jawaban!S62</f>
        <v>0</v>
      </c>
      <c r="T62" s="51">
        <f>Jawaban!T62</f>
        <v>0</v>
      </c>
      <c r="U62" s="51">
        <f>Jawaban!U62</f>
        <v>0</v>
      </c>
      <c r="V62" s="51">
        <f>Jawaban!V62</f>
        <v>0</v>
      </c>
    </row>
    <row r="63" ht="15.75" customHeight="1" spans="1:22">
      <c r="A63" s="12">
        <v>64</v>
      </c>
      <c r="B63" s="29"/>
      <c r="C63" s="35"/>
      <c r="D63" s="35"/>
      <c r="E63" s="35"/>
      <c r="F63" s="40" t="s">
        <v>78</v>
      </c>
      <c r="G63" s="41" t="s">
        <v>250</v>
      </c>
      <c r="H63" s="42"/>
      <c r="I63" s="51" t="s">
        <v>251</v>
      </c>
      <c r="J63" s="59" t="s">
        <v>87</v>
      </c>
      <c r="K63" s="44" t="str">
        <f>Jawaban!K63</f>
        <v>A</v>
      </c>
      <c r="L63" s="56">
        <f>Jawaban!L63</f>
        <v>0</v>
      </c>
      <c r="M63" s="51" t="s">
        <v>252</v>
      </c>
      <c r="N63" s="46" t="s">
        <v>65</v>
      </c>
      <c r="O63" s="47">
        <f t="shared" si="15"/>
        <v>1</v>
      </c>
      <c r="P63" s="48"/>
      <c r="Q63" s="53"/>
      <c r="R63" s="50" t="str">
        <f>Jawaban!R63</f>
        <v>c. Pimpinan memantau pencapaian kinerja secara berkala. </v>
      </c>
      <c r="S63" s="51">
        <f>Jawaban!S63</f>
        <v>0</v>
      </c>
      <c r="T63" s="51">
        <f>Jawaban!T63</f>
        <v>0</v>
      </c>
      <c r="U63" s="51">
        <f>Jawaban!U63</f>
        <v>0</v>
      </c>
      <c r="V63" s="51">
        <f>Jawaban!V63</f>
        <v>0</v>
      </c>
    </row>
    <row r="64" ht="15.75" customHeight="1" spans="1:22">
      <c r="A64" s="12">
        <v>65</v>
      </c>
      <c r="B64" s="30"/>
      <c r="C64" s="35"/>
      <c r="D64" s="35"/>
      <c r="E64" s="35" t="s">
        <v>68</v>
      </c>
      <c r="F64" s="29" t="s">
        <v>254</v>
      </c>
      <c r="G64" s="30"/>
      <c r="H64" s="36">
        <v>2.5</v>
      </c>
      <c r="I64" s="37"/>
      <c r="J64" s="36"/>
      <c r="K64" s="36">
        <f>Jawaban!K64</f>
        <v>0</v>
      </c>
      <c r="L64" s="54">
        <f>Jawaban!L64</f>
        <v>0</v>
      </c>
      <c r="M64" s="55"/>
      <c r="N64" s="36"/>
      <c r="O64" s="36">
        <f>AVERAGE(O65:O72)*H64</f>
        <v>2.5</v>
      </c>
      <c r="P64" s="38">
        <f>O64/H64</f>
        <v>1</v>
      </c>
      <c r="Q64" s="78"/>
      <c r="R64" s="51">
        <f>Jawaban!R64</f>
        <v>0</v>
      </c>
      <c r="S64" s="51">
        <f>Jawaban!S64</f>
        <v>0</v>
      </c>
      <c r="T64" s="51">
        <f>Jawaban!T64</f>
        <v>0</v>
      </c>
      <c r="U64" s="51">
        <f>Jawaban!U64</f>
        <v>0</v>
      </c>
      <c r="V64" s="51">
        <f>Jawaban!V64</f>
        <v>0</v>
      </c>
    </row>
    <row r="65" ht="150.75" customHeight="1" spans="1:22">
      <c r="A65" s="12">
        <v>66</v>
      </c>
      <c r="B65" s="29"/>
      <c r="C65" s="35"/>
      <c r="D65" s="35"/>
      <c r="E65" s="35"/>
      <c r="F65" s="40" t="s">
        <v>54</v>
      </c>
      <c r="G65" s="51" t="s">
        <v>255</v>
      </c>
      <c r="H65" s="42"/>
      <c r="I65" s="51" t="s">
        <v>256</v>
      </c>
      <c r="J65" s="59" t="s">
        <v>57</v>
      </c>
      <c r="K65" s="44" t="str">
        <f>Jawaban!K65</f>
        <v>Ya</v>
      </c>
      <c r="L65" s="56">
        <f>Jawaban!L65</f>
        <v>0</v>
      </c>
      <c r="M65" s="51" t="s">
        <v>257</v>
      </c>
      <c r="N65" s="46" t="s">
        <v>58</v>
      </c>
      <c r="O65" s="47">
        <f t="shared" ref="O65:O72" si="16">IF(J65="Ya/Tidak",IF(N65="Ya",1,IF(N65="Tidak",0,"Blm Diisi")),IF(J65="A/B/C",IF(N65="A",1,IF(N65="B",0.5,IF(N65="C",0,"Blm Diisi"))),IF(J65="A/B/C/D",IF(N65="A",1,IF(N65="B",0.67,IF(N65="C",0.33,IF(N65="D",0,"Blm Diisi")))),IF(J65="A/B/C/D/E",IF(N65="A",1,IF(N65="B",0.75,IF(N65="C",0.5,IF(N65="D",0.25,IF(N65="E",0,"Blm Diisi"))))),IF(J65="%",IF(N65="","Blm Diisi",N65),IF(J65="Jumlah",IF(N65="","Blm Diisi",""),IF(J65="Rupiah",IF(N65="","Blm Diisi",""),IF(J65="","","-"))))))))</f>
        <v>1</v>
      </c>
      <c r="P65" s="79"/>
      <c r="Q65" s="49"/>
      <c r="R65" s="50" t="str">
        <f>Jawaban!R65</f>
        <v>a. Dokumen perencanaan kinerja sudah ada.</v>
      </c>
      <c r="S65" s="51">
        <f>Jawaban!S65</f>
        <v>0</v>
      </c>
      <c r="T65" s="51">
        <f>Jawaban!T65</f>
        <v>0</v>
      </c>
      <c r="U65" s="51">
        <f>Jawaban!U65</f>
        <v>0</v>
      </c>
      <c r="V65" s="51">
        <f>Jawaban!V65</f>
        <v>0</v>
      </c>
    </row>
    <row r="66" ht="151.5" customHeight="1" spans="1:22">
      <c r="A66" s="12">
        <v>67</v>
      </c>
      <c r="B66" s="29"/>
      <c r="C66" s="35"/>
      <c r="D66" s="35"/>
      <c r="E66" s="35"/>
      <c r="F66" s="40" t="s">
        <v>61</v>
      </c>
      <c r="G66" s="51" t="s">
        <v>259</v>
      </c>
      <c r="H66" s="42"/>
      <c r="I66" s="51" t="s">
        <v>260</v>
      </c>
      <c r="J66" s="59" t="s">
        <v>57</v>
      </c>
      <c r="K66" s="44" t="str">
        <f>Jawaban!K66</f>
        <v>Ya</v>
      </c>
      <c r="L66" s="56">
        <f>Jawaban!L66</f>
        <v>0</v>
      </c>
      <c r="M66" s="51" t="s">
        <v>261</v>
      </c>
      <c r="N66" s="46" t="s">
        <v>58</v>
      </c>
      <c r="O66" s="47">
        <f t="shared" si="16"/>
        <v>1</v>
      </c>
      <c r="P66" s="79"/>
      <c r="Q66" s="57"/>
      <c r="R66" s="50" t="str">
        <f>Jawaban!R66</f>
        <v>b. Perencanaan kinerja telah berorientasi hasil. </v>
      </c>
      <c r="S66" s="51">
        <f>Jawaban!S66</f>
        <v>0</v>
      </c>
      <c r="T66" s="51">
        <f>Jawaban!T66</f>
        <v>0</v>
      </c>
      <c r="U66" s="51">
        <f>Jawaban!U66</f>
        <v>0</v>
      </c>
      <c r="V66" s="51">
        <f>Jawaban!V66</f>
        <v>0</v>
      </c>
    </row>
    <row r="67" ht="116.25" customHeight="1" spans="1:22">
      <c r="A67" s="12">
        <v>68</v>
      </c>
      <c r="B67" s="29"/>
      <c r="C67" s="35"/>
      <c r="D67" s="35"/>
      <c r="E67" s="35"/>
      <c r="F67" s="40" t="s">
        <v>78</v>
      </c>
      <c r="G67" s="51" t="s">
        <v>263</v>
      </c>
      <c r="H67" s="42"/>
      <c r="I67" s="41" t="s">
        <v>264</v>
      </c>
      <c r="J67" s="59" t="s">
        <v>57</v>
      </c>
      <c r="K67" s="44" t="str">
        <f>Jawaban!K67</f>
        <v>Ya</v>
      </c>
      <c r="L67" s="56">
        <f>Jawaban!L67</f>
        <v>0</v>
      </c>
      <c r="M67" s="41" t="s">
        <v>265</v>
      </c>
      <c r="N67" s="46" t="s">
        <v>58</v>
      </c>
      <c r="O67" s="47">
        <f t="shared" si="16"/>
        <v>1</v>
      </c>
      <c r="P67" s="79"/>
      <c r="Q67" s="57"/>
      <c r="R67" s="50" t="str">
        <f>Jawaban!R67</f>
        <v>c. Terdapat penetapan Indikator Kinerja Utama (IKU).</v>
      </c>
      <c r="S67" s="51">
        <f>Jawaban!S67</f>
        <v>0</v>
      </c>
      <c r="T67" s="51">
        <f>Jawaban!T67</f>
        <v>0</v>
      </c>
      <c r="U67" s="51">
        <f>Jawaban!U67</f>
        <v>0</v>
      </c>
      <c r="V67" s="51">
        <f>Jawaban!V67</f>
        <v>0</v>
      </c>
    </row>
    <row r="68" ht="148.5" customHeight="1" spans="1:22">
      <c r="A68" s="12">
        <v>69</v>
      </c>
      <c r="B68" s="29"/>
      <c r="C68" s="35"/>
      <c r="D68" s="35"/>
      <c r="E68" s="35"/>
      <c r="F68" s="40" t="s">
        <v>112</v>
      </c>
      <c r="G68" s="51" t="s">
        <v>267</v>
      </c>
      <c r="H68" s="42"/>
      <c r="I68" s="51" t="s">
        <v>268</v>
      </c>
      <c r="J68" s="59" t="s">
        <v>87</v>
      </c>
      <c r="K68" s="44" t="str">
        <f>Jawaban!K68</f>
        <v>A</v>
      </c>
      <c r="L68" s="52">
        <f>Jawaban!L68</f>
        <v>0</v>
      </c>
      <c r="M68" s="41" t="s">
        <v>269</v>
      </c>
      <c r="N68" s="46" t="s">
        <v>65</v>
      </c>
      <c r="O68" s="47">
        <f t="shared" si="16"/>
        <v>1</v>
      </c>
      <c r="P68" s="79"/>
      <c r="Q68" s="57"/>
      <c r="R68" s="50" t="str">
        <f>Jawaban!R68</f>
        <v>d. Indikator kinerja telah telah memenuhi kriteria SMART.</v>
      </c>
      <c r="S68" s="51">
        <f>Jawaban!S68</f>
        <v>0</v>
      </c>
      <c r="T68" s="51">
        <f>Jawaban!T68</f>
        <v>0</v>
      </c>
      <c r="U68" s="51">
        <f>Jawaban!U68</f>
        <v>0</v>
      </c>
      <c r="V68" s="51">
        <f>Jawaban!V68</f>
        <v>0</v>
      </c>
    </row>
    <row r="69" ht="393.75" customHeight="1" spans="1:22">
      <c r="A69" s="12">
        <v>70</v>
      </c>
      <c r="B69" s="29"/>
      <c r="C69" s="35"/>
      <c r="D69" s="35"/>
      <c r="E69" s="35"/>
      <c r="F69" s="40" t="s">
        <v>201</v>
      </c>
      <c r="G69" s="51" t="s">
        <v>271</v>
      </c>
      <c r="H69" s="42"/>
      <c r="I69" s="41" t="s">
        <v>272</v>
      </c>
      <c r="J69" s="59" t="s">
        <v>57</v>
      </c>
      <c r="K69" s="44" t="str">
        <f>Jawaban!K69</f>
        <v>Ya</v>
      </c>
      <c r="L69" s="56">
        <f>Jawaban!L69</f>
        <v>0</v>
      </c>
      <c r="M69" s="41" t="s">
        <v>273</v>
      </c>
      <c r="N69" s="46" t="s">
        <v>58</v>
      </c>
      <c r="O69" s="47">
        <f t="shared" si="16"/>
        <v>1</v>
      </c>
      <c r="P69" s="79"/>
      <c r="Q69" s="57"/>
      <c r="R69" s="50" t="str">
        <f>Jawaban!R69</f>
        <v>e. Laporan kinerja telah disusun tepat waktu. </v>
      </c>
      <c r="S69" s="51">
        <f>Jawaban!S69</f>
        <v>0</v>
      </c>
      <c r="T69" s="51">
        <f>Jawaban!T69</f>
        <v>0</v>
      </c>
      <c r="U69" s="51">
        <f>Jawaban!U69</f>
        <v>0</v>
      </c>
      <c r="V69" s="51">
        <f>Jawaban!V69</f>
        <v>0</v>
      </c>
    </row>
    <row r="70" ht="132" customHeight="1" spans="1:22">
      <c r="A70" s="12">
        <v>71</v>
      </c>
      <c r="B70" s="29"/>
      <c r="C70" s="35"/>
      <c r="D70" s="35"/>
      <c r="E70" s="35"/>
      <c r="F70" s="40" t="s">
        <v>206</v>
      </c>
      <c r="G70" s="51" t="s">
        <v>275</v>
      </c>
      <c r="H70" s="42"/>
      <c r="I70" s="51" t="s">
        <v>276</v>
      </c>
      <c r="J70" s="59" t="s">
        <v>64</v>
      </c>
      <c r="K70" s="44" t="str">
        <f>Jawaban!K70</f>
        <v>A</v>
      </c>
      <c r="L70" s="52">
        <f>Jawaban!L70</f>
        <v>0</v>
      </c>
      <c r="M70" s="51" t="s">
        <v>277</v>
      </c>
      <c r="N70" s="46" t="s">
        <v>65</v>
      </c>
      <c r="O70" s="47">
        <f t="shared" si="16"/>
        <v>1</v>
      </c>
      <c r="P70" s="79"/>
      <c r="Q70" s="57"/>
      <c r="R70" s="50" t="str">
        <f>Jawaban!R70</f>
        <v>f. Laporan kinerja telah memberikan informasi tentang kinerja. </v>
      </c>
      <c r="S70" s="51">
        <f>Jawaban!S70</f>
        <v>0</v>
      </c>
      <c r="T70" s="51">
        <f>Jawaban!T70</f>
        <v>0</v>
      </c>
      <c r="U70" s="51">
        <f>Jawaban!U70</f>
        <v>0</v>
      </c>
      <c r="V70" s="51">
        <f>Jawaban!V70</f>
        <v>0</v>
      </c>
    </row>
    <row r="71" ht="226.5" customHeight="1" spans="1:22">
      <c r="A71" s="12">
        <v>72</v>
      </c>
      <c r="B71" s="29"/>
      <c r="C71" s="35"/>
      <c r="D71" s="35"/>
      <c r="E71" s="35"/>
      <c r="F71" s="40" t="s">
        <v>279</v>
      </c>
      <c r="G71" s="41" t="s">
        <v>280</v>
      </c>
      <c r="H71" s="42"/>
      <c r="I71" s="51" t="s">
        <v>281</v>
      </c>
      <c r="J71" s="59" t="s">
        <v>57</v>
      </c>
      <c r="K71" s="44" t="str">
        <f>Jawaban!K71</f>
        <v>Ya</v>
      </c>
      <c r="L71" s="51">
        <f>Jawaban!L71</f>
        <v>0</v>
      </c>
      <c r="M71" s="51" t="s">
        <v>282</v>
      </c>
      <c r="N71" s="46" t="s">
        <v>58</v>
      </c>
      <c r="O71" s="47">
        <f t="shared" si="16"/>
        <v>1</v>
      </c>
      <c r="P71" s="79"/>
      <c r="Q71" s="57"/>
      <c r="R71" s="50" t="str">
        <f>Jawaban!R71</f>
        <v>g. Terdapat sistem informasi/mekanisme informasi kinerja.</v>
      </c>
      <c r="S71" s="51">
        <f>Jawaban!S71</f>
        <v>0</v>
      </c>
      <c r="T71" s="51">
        <f>Jawaban!T71</f>
        <v>0</v>
      </c>
      <c r="U71" s="51">
        <f>Jawaban!U71</f>
        <v>0</v>
      </c>
      <c r="V71" s="51">
        <f>Jawaban!V71</f>
        <v>0</v>
      </c>
    </row>
    <row r="72" ht="15.75" customHeight="1" spans="1:22">
      <c r="A72" s="12">
        <v>73</v>
      </c>
      <c r="B72" s="29"/>
      <c r="C72" s="35"/>
      <c r="D72" s="35"/>
      <c r="E72" s="35"/>
      <c r="F72" s="40" t="s">
        <v>284</v>
      </c>
      <c r="G72" s="41" t="s">
        <v>285</v>
      </c>
      <c r="H72" s="42"/>
      <c r="I72" s="51" t="s">
        <v>286</v>
      </c>
      <c r="J72" s="59" t="s">
        <v>64</v>
      </c>
      <c r="K72" s="44" t="str">
        <f>Jawaban!K72</f>
        <v>A</v>
      </c>
      <c r="L72" s="52">
        <f>Jawaban!L72</f>
        <v>0</v>
      </c>
      <c r="M72" s="51" t="s">
        <v>287</v>
      </c>
      <c r="N72" s="46" t="s">
        <v>65</v>
      </c>
      <c r="O72" s="47">
        <f t="shared" si="16"/>
        <v>1</v>
      </c>
      <c r="P72" s="79"/>
      <c r="Q72" s="57"/>
      <c r="R72" s="50" t="str">
        <f>Jawaban!R72</f>
        <v>h. Unit kerja telah berupaya meningkatkan kapasitas SDM yang menangangi akuntabilitas kinerja.</v>
      </c>
      <c r="S72" s="51">
        <f>Jawaban!S72</f>
        <v>0</v>
      </c>
      <c r="T72" s="51">
        <f>Jawaban!T72</f>
        <v>0</v>
      </c>
      <c r="U72" s="51">
        <f>Jawaban!U72</f>
        <v>0</v>
      </c>
      <c r="V72" s="51">
        <f>Jawaban!V72</f>
        <v>0</v>
      </c>
    </row>
    <row r="73" ht="15.75" customHeight="1" spans="1:22">
      <c r="A73" s="12">
        <v>74</v>
      </c>
      <c r="B73" s="26"/>
      <c r="C73" s="61"/>
      <c r="D73" s="28" t="s">
        <v>19</v>
      </c>
      <c r="E73" s="29" t="s">
        <v>20</v>
      </c>
      <c r="F73" s="29"/>
      <c r="G73" s="30"/>
      <c r="H73" s="31">
        <v>7.5</v>
      </c>
      <c r="I73" s="32"/>
      <c r="J73" s="31"/>
      <c r="K73" s="31">
        <f>Jawaban!K73</f>
        <v>0</v>
      </c>
      <c r="L73" s="54">
        <f>Jawaban!L73</f>
        <v>0</v>
      </c>
      <c r="M73" s="55"/>
      <c r="N73" s="31"/>
      <c r="O73" s="31">
        <f>SUM(O74,O77,O82,O87,O91)</f>
        <v>7.5</v>
      </c>
      <c r="P73" s="33">
        <f t="shared" ref="P73:P74" si="17">O73/H73</f>
        <v>1</v>
      </c>
      <c r="Q73" s="80"/>
      <c r="R73" s="51">
        <f>Jawaban!R73</f>
        <v>0</v>
      </c>
      <c r="S73" s="51">
        <f>Jawaban!S73</f>
        <v>0</v>
      </c>
      <c r="T73" s="51">
        <f>Jawaban!T73</f>
        <v>0</v>
      </c>
      <c r="U73" s="51">
        <f>Jawaban!U73</f>
        <v>0</v>
      </c>
      <c r="V73" s="51">
        <f>Jawaban!V73</f>
        <v>0</v>
      </c>
    </row>
    <row r="74" ht="15.75" customHeight="1" spans="1:22">
      <c r="A74" s="12">
        <v>75</v>
      </c>
      <c r="B74" s="30"/>
      <c r="C74" s="35"/>
      <c r="D74" s="35"/>
      <c r="E74" s="35" t="s">
        <v>52</v>
      </c>
      <c r="F74" s="29" t="s">
        <v>289</v>
      </c>
      <c r="G74" s="30"/>
      <c r="H74" s="36">
        <v>1.5</v>
      </c>
      <c r="I74" s="37"/>
      <c r="J74" s="36"/>
      <c r="K74" s="36">
        <f>Jawaban!K74</f>
        <v>0</v>
      </c>
      <c r="L74" s="54">
        <f>Jawaban!L74</f>
        <v>0</v>
      </c>
      <c r="M74" s="55"/>
      <c r="N74" s="36"/>
      <c r="O74" s="36">
        <f>AVERAGE(O75:O76)*H74</f>
        <v>1.5</v>
      </c>
      <c r="P74" s="38">
        <f t="shared" si="17"/>
        <v>1</v>
      </c>
      <c r="Q74" s="81"/>
      <c r="R74" s="51">
        <f>Jawaban!R74</f>
        <v>0</v>
      </c>
      <c r="S74" s="51">
        <f>Jawaban!S74</f>
        <v>0</v>
      </c>
      <c r="T74" s="51">
        <f>Jawaban!T74</f>
        <v>0</v>
      </c>
      <c r="U74" s="51">
        <f>Jawaban!U74</f>
        <v>0</v>
      </c>
      <c r="V74" s="51">
        <f>Jawaban!V74</f>
        <v>0</v>
      </c>
    </row>
    <row r="75" ht="15.75" customHeight="1" spans="1:22">
      <c r="A75" s="12">
        <v>76</v>
      </c>
      <c r="B75" s="29"/>
      <c r="C75" s="35"/>
      <c r="D75" s="35"/>
      <c r="E75" s="35"/>
      <c r="F75" s="40" t="s">
        <v>54</v>
      </c>
      <c r="G75" s="41" t="s">
        <v>290</v>
      </c>
      <c r="H75" s="42"/>
      <c r="I75" s="51" t="s">
        <v>291</v>
      </c>
      <c r="J75" s="59" t="s">
        <v>64</v>
      </c>
      <c r="K75" s="44" t="str">
        <f>Jawaban!K75</f>
        <v>A</v>
      </c>
      <c r="L75" s="56">
        <f>Jawaban!L75</f>
        <v>0</v>
      </c>
      <c r="M75" s="51" t="s">
        <v>292</v>
      </c>
      <c r="N75" s="46" t="s">
        <v>65</v>
      </c>
      <c r="O75" s="47">
        <f t="shared" ref="O75:O76" si="18">IF(J75="Ya/Tidak",IF(N75="Ya",1,IF(N75="Tidak",0,"Blm Diisi")),IF(J75="A/B/C",IF(N75="A",1,IF(N75="B",0.5,IF(N75="C",0,"Blm Diisi"))),IF(J75="A/B/C/D",IF(N75="A",1,IF(N75="B",0.67,IF(N75="C",0.33,IF(N75="D",0,"Blm Diisi")))),IF(J75="A/B/C/D/E",IF(N75="A",1,IF(N75="B",0.75,IF(N75="C",0.5,IF(N75="D",0.25,IF(N75="E",0,"Blm Diisi"))))),IF(J75="%",IF(N75="","Blm Diisi",N75),IF(J75="Jumlah",IF(N75="","Blm Diisi",""),IF(J75="Rupiah",IF(N75="","Blm Diisi",""),IF(J75="","","-"))))))))</f>
        <v>1</v>
      </c>
      <c r="P75" s="48"/>
      <c r="Q75" s="82"/>
      <c r="R75" s="50" t="str">
        <f>Jawaban!R75</f>
        <v>a. Telah dilakukan public campaign tentang pengendalian gratifikasi.</v>
      </c>
      <c r="S75" s="51">
        <f>Jawaban!S75</f>
        <v>0</v>
      </c>
      <c r="T75" s="51">
        <f>Jawaban!T75</f>
        <v>0</v>
      </c>
      <c r="U75" s="51">
        <f>Jawaban!U75</f>
        <v>0</v>
      </c>
      <c r="V75" s="51">
        <f>Jawaban!V75</f>
        <v>0</v>
      </c>
    </row>
    <row r="76" ht="15.75" customHeight="1" spans="1:22">
      <c r="A76" s="12">
        <v>77</v>
      </c>
      <c r="B76" s="29"/>
      <c r="C76" s="35"/>
      <c r="D76" s="35"/>
      <c r="E76" s="35"/>
      <c r="F76" s="40" t="s">
        <v>61</v>
      </c>
      <c r="G76" s="41" t="s">
        <v>294</v>
      </c>
      <c r="H76" s="42"/>
      <c r="I76" s="51" t="s">
        <v>295</v>
      </c>
      <c r="J76" s="59" t="s">
        <v>87</v>
      </c>
      <c r="K76" s="44" t="str">
        <f>Jawaban!K76</f>
        <v>A</v>
      </c>
      <c r="L76" s="56">
        <f>Jawaban!L76</f>
        <v>0</v>
      </c>
      <c r="M76" s="51" t="s">
        <v>296</v>
      </c>
      <c r="N76" s="46" t="s">
        <v>65</v>
      </c>
      <c r="O76" s="47">
        <f t="shared" si="18"/>
        <v>1</v>
      </c>
      <c r="P76" s="48"/>
      <c r="Q76" s="53"/>
      <c r="R76" s="50" t="str">
        <f>Jawaban!R76</f>
        <v>b. Pengendalian gratifikasi telah diimplementasikan.</v>
      </c>
      <c r="S76" s="51">
        <f>Jawaban!S76</f>
        <v>0</v>
      </c>
      <c r="T76" s="51">
        <f>Jawaban!T76</f>
        <v>0</v>
      </c>
      <c r="U76" s="51">
        <f>Jawaban!U76</f>
        <v>0</v>
      </c>
      <c r="V76" s="51">
        <f>Jawaban!V76</f>
        <v>0</v>
      </c>
    </row>
    <row r="77" ht="15.75" customHeight="1" spans="1:22">
      <c r="A77" s="12">
        <v>78</v>
      </c>
      <c r="B77" s="30"/>
      <c r="C77" s="35"/>
      <c r="D77" s="35"/>
      <c r="E77" s="35" t="s">
        <v>68</v>
      </c>
      <c r="F77" s="29" t="s">
        <v>298</v>
      </c>
      <c r="G77" s="30"/>
      <c r="H77" s="36">
        <v>1.5</v>
      </c>
      <c r="I77" s="37"/>
      <c r="J77" s="36"/>
      <c r="K77" s="36">
        <f>Jawaban!K77</f>
        <v>0</v>
      </c>
      <c r="L77" s="54">
        <f>Jawaban!L77</f>
        <v>0</v>
      </c>
      <c r="M77" s="55"/>
      <c r="N77" s="36"/>
      <c r="O77" s="36">
        <f>AVERAGE(O78:O81)*H77</f>
        <v>1.5</v>
      </c>
      <c r="P77" s="38">
        <f>O77/H77</f>
        <v>1</v>
      </c>
      <c r="Q77" s="78"/>
      <c r="R77" s="51">
        <f>Jawaban!R77</f>
        <v>0</v>
      </c>
      <c r="S77" s="51">
        <f>Jawaban!S77</f>
        <v>0</v>
      </c>
      <c r="T77" s="51">
        <f>Jawaban!T77</f>
        <v>0</v>
      </c>
      <c r="U77" s="51">
        <f>Jawaban!U77</f>
        <v>0</v>
      </c>
      <c r="V77" s="51">
        <f>Jawaban!V77</f>
        <v>0</v>
      </c>
    </row>
    <row r="78" ht="258.75" customHeight="1" spans="1:22">
      <c r="A78" s="12">
        <v>79</v>
      </c>
      <c r="B78" s="29"/>
      <c r="C78" s="35"/>
      <c r="D78" s="35"/>
      <c r="E78" s="35"/>
      <c r="F78" s="40" t="s">
        <v>54</v>
      </c>
      <c r="G78" s="41" t="s">
        <v>299</v>
      </c>
      <c r="H78" s="42"/>
      <c r="I78" s="51" t="s">
        <v>300</v>
      </c>
      <c r="J78" s="59" t="s">
        <v>124</v>
      </c>
      <c r="K78" s="44" t="str">
        <f>Jawaban!K78</f>
        <v>A</v>
      </c>
      <c r="L78" s="52">
        <f>Jawaban!L78</f>
        <v>0</v>
      </c>
      <c r="M78" s="51" t="s">
        <v>301</v>
      </c>
      <c r="N78" s="46" t="s">
        <v>65</v>
      </c>
      <c r="O78" s="47">
        <f t="shared" ref="O78:O81" si="19">IF(J78="Ya/Tidak",IF(N78="Ya",1,IF(N78="Tidak",0,"Blm Diisi")),IF(J78="A/B/C",IF(N78="A",1,IF(N78="B",0.5,IF(N78="C",0,"Blm Diisi"))),IF(J78="A/B/C/D",IF(N78="A",1,IF(N78="B",0.67,IF(N78="C",0.33,IF(N78="D",0,"Blm Diisi")))),IF(J78="A/B/C/D/E",IF(N78="A",1,IF(N78="B",0.75,IF(N78="C",0.5,IF(N78="D",0.25,IF(N78="E",0,"Blm Diisi"))))),IF(J78="%",IF(N78="","Blm Diisi",N78),IF(J78="Jumlah",IF(N78="","Blm Diisi",""),IF(J78="Rupiah",IF(N78="","Blm Diisi",""),IF(J78="","","-"))))))))</f>
        <v>1</v>
      </c>
      <c r="P78" s="79"/>
      <c r="Q78" s="49"/>
      <c r="R78" s="50" t="str">
        <f>Jawaban!R78</f>
        <v>a. Telah dibangun lingkungan pengendalian.</v>
      </c>
      <c r="S78" s="51">
        <f>Jawaban!S78</f>
        <v>0</v>
      </c>
      <c r="T78" s="51">
        <f>Jawaban!T78</f>
        <v>0</v>
      </c>
      <c r="U78" s="51">
        <f>Jawaban!U78</f>
        <v>0</v>
      </c>
      <c r="V78" s="51">
        <f>Jawaban!V78</f>
        <v>0</v>
      </c>
    </row>
    <row r="79" ht="15.75" customHeight="1" spans="1:22">
      <c r="A79" s="12">
        <v>80</v>
      </c>
      <c r="B79" s="29"/>
      <c r="C79" s="35"/>
      <c r="D79" s="35"/>
      <c r="E79" s="35"/>
      <c r="F79" s="40" t="s">
        <v>61</v>
      </c>
      <c r="G79" s="41" t="s">
        <v>303</v>
      </c>
      <c r="H79" s="42"/>
      <c r="I79" s="51" t="s">
        <v>304</v>
      </c>
      <c r="J79" s="59" t="s">
        <v>124</v>
      </c>
      <c r="K79" s="44" t="str">
        <f>Jawaban!K79</f>
        <v>A</v>
      </c>
      <c r="L79" s="52">
        <f>Jawaban!L79</f>
        <v>0</v>
      </c>
      <c r="M79" s="51" t="s">
        <v>305</v>
      </c>
      <c r="N79" s="46" t="s">
        <v>65</v>
      </c>
      <c r="O79" s="47">
        <f t="shared" si="19"/>
        <v>1</v>
      </c>
      <c r="P79" s="79"/>
      <c r="Q79" s="57"/>
      <c r="R79" s="50" t="str">
        <f>Jawaban!R79</f>
        <v>b. Telah dilakukan penilaian risiko atas pelaksanaan kebijakan.</v>
      </c>
      <c r="S79" s="51">
        <f>Jawaban!S79</f>
        <v>0</v>
      </c>
      <c r="T79" s="51">
        <f>Jawaban!T79</f>
        <v>0</v>
      </c>
      <c r="U79" s="51">
        <f>Jawaban!U79</f>
        <v>0</v>
      </c>
      <c r="V79" s="51">
        <f>Jawaban!V79</f>
        <v>0</v>
      </c>
    </row>
    <row r="80" ht="181.5" customHeight="1" spans="1:22">
      <c r="A80" s="12">
        <v>81</v>
      </c>
      <c r="B80" s="29"/>
      <c r="C80" s="35"/>
      <c r="D80" s="35"/>
      <c r="E80" s="35"/>
      <c r="F80" s="40" t="s">
        <v>78</v>
      </c>
      <c r="G80" s="41" t="s">
        <v>307</v>
      </c>
      <c r="H80" s="42"/>
      <c r="I80" s="51" t="s">
        <v>308</v>
      </c>
      <c r="J80" s="59" t="s">
        <v>64</v>
      </c>
      <c r="K80" s="44" t="str">
        <f>Jawaban!K80</f>
        <v>A</v>
      </c>
      <c r="L80" s="56">
        <f>Jawaban!L80</f>
        <v>0</v>
      </c>
      <c r="M80" s="51" t="s">
        <v>309</v>
      </c>
      <c r="N80" s="46" t="s">
        <v>65</v>
      </c>
      <c r="O80" s="47">
        <f t="shared" si="19"/>
        <v>1</v>
      </c>
      <c r="P80" s="79"/>
      <c r="Q80" s="57"/>
      <c r="R80" s="50" t="str">
        <f>Jawaban!R80</f>
        <v>c. Telah dilakukan kegiatan pengendalian untuk meminimalisir risiko yang telah diidentifikasi.</v>
      </c>
      <c r="S80" s="51">
        <f>Jawaban!S80</f>
        <v>0</v>
      </c>
      <c r="T80" s="51">
        <f>Jawaban!T80</f>
        <v>0</v>
      </c>
      <c r="U80" s="51">
        <f>Jawaban!U80</f>
        <v>0</v>
      </c>
      <c r="V80" s="51">
        <f>Jawaban!V80</f>
        <v>0</v>
      </c>
    </row>
    <row r="81" ht="15.75" customHeight="1" spans="1:22">
      <c r="A81" s="12">
        <v>82</v>
      </c>
      <c r="B81" s="29"/>
      <c r="C81" s="35"/>
      <c r="D81" s="35"/>
      <c r="E81" s="35"/>
      <c r="F81" s="40" t="s">
        <v>112</v>
      </c>
      <c r="G81" s="41" t="s">
        <v>311</v>
      </c>
      <c r="H81" s="42"/>
      <c r="I81" s="51" t="s">
        <v>312</v>
      </c>
      <c r="J81" s="59" t="s">
        <v>64</v>
      </c>
      <c r="K81" s="44" t="str">
        <f>Jawaban!K81</f>
        <v>A</v>
      </c>
      <c r="L81" s="56">
        <f>Jawaban!L81</f>
        <v>0</v>
      </c>
      <c r="M81" s="51" t="s">
        <v>313</v>
      </c>
      <c r="N81" s="46" t="s">
        <v>65</v>
      </c>
      <c r="O81" s="47">
        <f t="shared" si="19"/>
        <v>1</v>
      </c>
      <c r="P81" s="79"/>
      <c r="Q81" s="57"/>
      <c r="R81" s="50" t="str">
        <f>Jawaban!R81</f>
        <v>d. SPI telah diinformasikan dan dikomunikasikan kepada seluruh pihak terkait.</v>
      </c>
      <c r="S81" s="51">
        <f>Jawaban!S81</f>
        <v>0</v>
      </c>
      <c r="T81" s="51">
        <f>Jawaban!T81</f>
        <v>0</v>
      </c>
      <c r="U81" s="51">
        <f>Jawaban!U81</f>
        <v>0</v>
      </c>
      <c r="V81" s="51">
        <f>Jawaban!V81</f>
        <v>0</v>
      </c>
    </row>
    <row r="82" ht="15.75" customHeight="1" spans="1:22">
      <c r="A82" s="12">
        <v>83</v>
      </c>
      <c r="B82" s="30"/>
      <c r="C82" s="35"/>
      <c r="D82" s="35"/>
      <c r="E82" s="35" t="s">
        <v>83</v>
      </c>
      <c r="F82" s="29" t="s">
        <v>315</v>
      </c>
      <c r="G82" s="30"/>
      <c r="H82" s="36">
        <v>1.5</v>
      </c>
      <c r="I82" s="37"/>
      <c r="J82" s="36"/>
      <c r="K82" s="36">
        <f>Jawaban!K82</f>
        <v>0</v>
      </c>
      <c r="L82" s="54">
        <f>Jawaban!L82</f>
        <v>0</v>
      </c>
      <c r="M82" s="55"/>
      <c r="N82" s="36"/>
      <c r="O82" s="36">
        <f>AVERAGE(O83:O86)*H82</f>
        <v>1.5</v>
      </c>
      <c r="P82" s="83">
        <f>O82/H82</f>
        <v>1</v>
      </c>
      <c r="Q82" s="39"/>
      <c r="R82" s="51">
        <f>Jawaban!R82</f>
        <v>0</v>
      </c>
      <c r="S82" s="51">
        <f>Jawaban!S82</f>
        <v>0</v>
      </c>
      <c r="T82" s="51">
        <f>Jawaban!T82</f>
        <v>0</v>
      </c>
      <c r="U82" s="51">
        <f>Jawaban!U82</f>
        <v>0</v>
      </c>
      <c r="V82" s="51">
        <f>Jawaban!V82</f>
        <v>0</v>
      </c>
    </row>
    <row r="83" ht="195" customHeight="1" spans="1:22">
      <c r="A83" s="12">
        <v>84</v>
      </c>
      <c r="B83" s="29"/>
      <c r="C83" s="35"/>
      <c r="D83" s="35"/>
      <c r="E83" s="35"/>
      <c r="F83" s="40" t="s">
        <v>54</v>
      </c>
      <c r="G83" s="41" t="s">
        <v>316</v>
      </c>
      <c r="H83" s="42"/>
      <c r="I83" s="51" t="s">
        <v>595</v>
      </c>
      <c r="J83" s="59" t="s">
        <v>64</v>
      </c>
      <c r="K83" s="44" t="str">
        <f>Jawaban!K83</f>
        <v>A</v>
      </c>
      <c r="L83" s="52">
        <f>Jawaban!L83</f>
        <v>0</v>
      </c>
      <c r="M83" s="51" t="s">
        <v>318</v>
      </c>
      <c r="N83" s="46" t="s">
        <v>65</v>
      </c>
      <c r="O83" s="47">
        <f t="shared" ref="O83:O86" si="20">IF(J83="Ya/Tidak",IF(N83="Ya",1,IF(N83="Tidak",0,"Blm Diisi")),IF(J83="A/B/C",IF(N83="A",1,IF(N83="B",0.5,IF(N83="C",0,"Blm Diisi"))),IF(J83="A/B/C/D",IF(N83="A",1,IF(N83="B",0.67,IF(N83="C",0.33,IF(N83="D",0,"Blm Diisi")))),IF(J83="A/B/C/D/E",IF(N83="A",1,IF(N83="B",0.75,IF(N83="C",0.5,IF(N83="D",0.25,IF(N83="E",0,"Blm Diisi"))))),IF(J83="%",IF(N83="","Blm Diisi",N83),IF(J83="Jumlah",IF(N83="","Blm Diisi",""),IF(J83="Rupiah",IF(N83="","Blm Diisi",""),IF(J83="","","-"))))))))</f>
        <v>1</v>
      </c>
      <c r="P83" s="79"/>
      <c r="Q83" s="49"/>
      <c r="R83" s="50" t="str">
        <f>Jawaban!R83</f>
        <v>a. Kebijakan Pengaduan masyarakat telah diimplementasikan. </v>
      </c>
      <c r="S83" s="51">
        <f>Jawaban!S83</f>
        <v>0</v>
      </c>
      <c r="T83" s="51">
        <f>Jawaban!T83</f>
        <v>0</v>
      </c>
      <c r="U83" s="51">
        <f>Jawaban!U83</f>
        <v>0</v>
      </c>
      <c r="V83" s="51">
        <f>Jawaban!V83</f>
        <v>0</v>
      </c>
    </row>
    <row r="84" ht="87" customHeight="1" spans="1:22">
      <c r="B84" s="29"/>
      <c r="C84" s="35"/>
      <c r="D84" s="35"/>
      <c r="E84" s="35"/>
      <c r="F84" s="40" t="s">
        <v>61</v>
      </c>
      <c r="G84" s="41" t="s">
        <v>320</v>
      </c>
      <c r="H84" s="42"/>
      <c r="I84" s="51" t="s">
        <v>321</v>
      </c>
      <c r="J84" s="59" t="s">
        <v>57</v>
      </c>
      <c r="K84" s="44" t="str">
        <f>Jawaban!K84</f>
        <v>Ya</v>
      </c>
      <c r="L84" s="54">
        <f>Jawaban!L84</f>
        <v>0</v>
      </c>
      <c r="M84" s="51" t="s">
        <v>322</v>
      </c>
      <c r="N84" s="46" t="s">
        <v>58</v>
      </c>
      <c r="O84" s="47">
        <f t="shared" si="20"/>
        <v>1</v>
      </c>
      <c r="P84" s="79"/>
      <c r="Q84" s="57"/>
      <c r="R84" s="50" t="str">
        <f>Jawaban!R84</f>
        <v>b. pengaduan masyarakat dtindaklanjuti. </v>
      </c>
      <c r="S84" s="51">
        <f>Jawaban!S84</f>
        <v>0</v>
      </c>
      <c r="T84" s="51">
        <f>Jawaban!T84</f>
        <v>0</v>
      </c>
      <c r="U84" s="51">
        <f>Jawaban!U84</f>
        <v>0</v>
      </c>
      <c r="V84" s="51">
        <f>Jawaban!V84</f>
        <v>0</v>
      </c>
    </row>
    <row r="85" ht="141.75" customHeight="1" spans="1:22">
      <c r="A85" s="12">
        <v>89</v>
      </c>
      <c r="B85" s="29"/>
      <c r="C85" s="35"/>
      <c r="D85" s="35"/>
      <c r="E85" s="35"/>
      <c r="F85" s="40" t="s">
        <v>78</v>
      </c>
      <c r="G85" s="41" t="s">
        <v>324</v>
      </c>
      <c r="H85" s="42"/>
      <c r="I85" s="51" t="s">
        <v>596</v>
      </c>
      <c r="J85" s="59" t="s">
        <v>64</v>
      </c>
      <c r="K85" s="44" t="str">
        <f>Jawaban!K85</f>
        <v>A</v>
      </c>
      <c r="L85" s="52">
        <f>Jawaban!L85</f>
        <v>0</v>
      </c>
      <c r="M85" s="51" t="s">
        <v>326</v>
      </c>
      <c r="N85" s="46" t="s">
        <v>65</v>
      </c>
      <c r="O85" s="47">
        <f t="shared" si="20"/>
        <v>1</v>
      </c>
      <c r="P85" s="79"/>
      <c r="Q85" s="57"/>
      <c r="R85" s="50" t="str">
        <f>Jawaban!R85</f>
        <v>c. Telah dilakukan monitoring dan evaluasi atas penanganan pengaduan masyarakat. </v>
      </c>
      <c r="S85" s="51">
        <f>Jawaban!S85</f>
        <v>0</v>
      </c>
      <c r="T85" s="51">
        <f>Jawaban!T85</f>
        <v>0</v>
      </c>
      <c r="U85" s="51">
        <f>Jawaban!U85</f>
        <v>0</v>
      </c>
      <c r="V85" s="51">
        <f>Jawaban!V85</f>
        <v>0</v>
      </c>
    </row>
    <row r="86" ht="15.75" customHeight="1" spans="1:22">
      <c r="A86" s="12">
        <v>90</v>
      </c>
      <c r="B86" s="29"/>
      <c r="C86" s="35"/>
      <c r="D86" s="35"/>
      <c r="E86" s="35"/>
      <c r="F86" s="40" t="s">
        <v>112</v>
      </c>
      <c r="G86" s="41" t="s">
        <v>328</v>
      </c>
      <c r="H86" s="42"/>
      <c r="I86" s="51" t="s">
        <v>329</v>
      </c>
      <c r="J86" s="59" t="s">
        <v>64</v>
      </c>
      <c r="K86" s="44" t="str">
        <f>Jawaban!K86</f>
        <v>A</v>
      </c>
      <c r="L86" s="56">
        <f>Jawaban!L86</f>
        <v>0</v>
      </c>
      <c r="M86" s="51" t="s">
        <v>330</v>
      </c>
      <c r="N86" s="46" t="s">
        <v>65</v>
      </c>
      <c r="O86" s="47">
        <f t="shared" si="20"/>
        <v>1</v>
      </c>
      <c r="P86" s="79"/>
      <c r="Q86" s="57"/>
      <c r="R86" s="50" t="str">
        <f>Jawaban!R86</f>
        <v>d. Hasil evaluasi atas penanganan pengaduan masyarakat telah ditindaklanjuti. </v>
      </c>
      <c r="S86" s="51">
        <f>Jawaban!S86</f>
        <v>0</v>
      </c>
      <c r="T86" s="51">
        <f>Jawaban!T86</f>
        <v>0</v>
      </c>
      <c r="U86" s="51">
        <f>Jawaban!U86</f>
        <v>0</v>
      </c>
      <c r="V86" s="51">
        <f>Jawaban!V86</f>
        <v>0</v>
      </c>
    </row>
    <row r="87" ht="15.75" customHeight="1" spans="1:22">
      <c r="A87" s="12">
        <v>91</v>
      </c>
      <c r="B87" s="30"/>
      <c r="C87" s="35"/>
      <c r="D87" s="35"/>
      <c r="E87" s="35" t="s">
        <v>98</v>
      </c>
      <c r="F87" s="84" t="s">
        <v>332</v>
      </c>
      <c r="G87" s="85"/>
      <c r="H87" s="36">
        <v>1.5</v>
      </c>
      <c r="I87" s="37"/>
      <c r="J87" s="36"/>
      <c r="K87" s="36">
        <f>Jawaban!K87</f>
        <v>0</v>
      </c>
      <c r="L87" s="54">
        <f>Jawaban!L87</f>
        <v>0</v>
      </c>
      <c r="M87" s="55"/>
      <c r="N87" s="36"/>
      <c r="O87" s="36">
        <f>AVERAGE(O88:O90)*H87</f>
        <v>1.5</v>
      </c>
      <c r="P87" s="83">
        <f>O87/H87</f>
        <v>1</v>
      </c>
      <c r="Q87" s="39"/>
      <c r="R87" s="51">
        <f>Jawaban!R87</f>
        <v>0</v>
      </c>
      <c r="S87" s="51">
        <f>Jawaban!S87</f>
        <v>0</v>
      </c>
      <c r="T87" s="51">
        <f>Jawaban!T87</f>
        <v>0</v>
      </c>
      <c r="U87" s="51">
        <f>Jawaban!U87</f>
        <v>0</v>
      </c>
      <c r="V87" s="51">
        <f>Jawaban!V87</f>
        <v>0</v>
      </c>
    </row>
    <row r="88" ht="183" customHeight="1" spans="1:22">
      <c r="A88" s="12">
        <v>93</v>
      </c>
      <c r="B88" s="29"/>
      <c r="C88" s="29"/>
      <c r="D88" s="29"/>
      <c r="E88" s="29"/>
      <c r="F88" s="86" t="s">
        <v>54</v>
      </c>
      <c r="G88" s="41" t="s">
        <v>333</v>
      </c>
      <c r="H88" s="42"/>
      <c r="I88" s="51" t="s">
        <v>334</v>
      </c>
      <c r="J88" s="59" t="s">
        <v>64</v>
      </c>
      <c r="K88" s="44" t="str">
        <f>Jawaban!K88</f>
        <v>A</v>
      </c>
      <c r="L88" s="52">
        <f>Jawaban!L88</f>
        <v>0</v>
      </c>
      <c r="M88" s="51" t="s">
        <v>335</v>
      </c>
      <c r="N88" s="46" t="s">
        <v>65</v>
      </c>
      <c r="O88" s="47">
        <f t="shared" ref="O88:O90" si="21">IF(J88="Ya/Tidak",IF(N88="Ya",1,IF(N88="Tidak",0,"Blm Diisi")),IF(J88="A/B/C",IF(N88="A",1,IF(N88="B",0.5,IF(N88="C",0,"Blm Diisi"))),IF(J88="A/B/C/D",IF(N88="A",1,IF(N88="B",0.67,IF(N88="C",0.33,IF(N88="D",0,"Blm Diisi")))),IF(J88="A/B/C/D/E",IF(N88="A",1,IF(N88="B",0.75,IF(N88="C",0.5,IF(N88="D",0.25,IF(N88="E",0,"Blm Diisi"))))),IF(J88="%",IF(N88="","Blm Diisi",N88),IF(J88="Jumlah",IF(N88="","Blm Diisi",""),IF(J88="Rupiah",IF(N88="","Blm Diisi",""),IF(J88="","","-"))))))))</f>
        <v>1</v>
      </c>
      <c r="P88" s="79"/>
      <c r="Q88" s="49"/>
      <c r="R88" s="50" t="str">
        <f>Jawaban!R88</f>
        <v>a. Whistle Blowing System telah diterapkan.</v>
      </c>
      <c r="S88" s="51">
        <f>Jawaban!S88</f>
        <v>0</v>
      </c>
      <c r="T88" s="51">
        <f>Jawaban!T88</f>
        <v>0</v>
      </c>
      <c r="U88" s="51">
        <f>Jawaban!U88</f>
        <v>0</v>
      </c>
      <c r="V88" s="51">
        <f>Jawaban!V88</f>
        <v>0</v>
      </c>
    </row>
    <row r="89" ht="138" customHeight="1" spans="1:22">
      <c r="A89" s="12">
        <v>94</v>
      </c>
      <c r="B89" s="29"/>
      <c r="C89" s="35"/>
      <c r="D89" s="35"/>
      <c r="E89" s="35"/>
      <c r="F89" s="40" t="s">
        <v>61</v>
      </c>
      <c r="G89" s="41" t="s">
        <v>337</v>
      </c>
      <c r="H89" s="42"/>
      <c r="I89" s="51" t="s">
        <v>338</v>
      </c>
      <c r="J89" s="59" t="s">
        <v>64</v>
      </c>
      <c r="K89" s="44" t="str">
        <f>Jawaban!K89</f>
        <v>A</v>
      </c>
      <c r="L89" s="52">
        <f>Jawaban!L89</f>
        <v>0</v>
      </c>
      <c r="M89" s="51" t="s">
        <v>339</v>
      </c>
      <c r="N89" s="46" t="s">
        <v>65</v>
      </c>
      <c r="O89" s="47">
        <f t="shared" si="21"/>
        <v>1</v>
      </c>
      <c r="P89" s="79"/>
      <c r="Q89" s="49"/>
      <c r="R89" s="50" t="str">
        <f>Jawaban!R89</f>
        <v>b. Telah dilakukan evaluasi atas penerapan Whistle Blowing System.</v>
      </c>
      <c r="S89" s="51">
        <f>Jawaban!S89</f>
        <v>0</v>
      </c>
      <c r="T89" s="51">
        <f>Jawaban!T89</f>
        <v>0</v>
      </c>
      <c r="U89" s="51">
        <f>Jawaban!U89</f>
        <v>0</v>
      </c>
      <c r="V89" s="51">
        <f>Jawaban!V89</f>
        <v>0</v>
      </c>
    </row>
    <row r="90" ht="132" customHeight="1" spans="1:22">
      <c r="A90" s="12">
        <v>95</v>
      </c>
      <c r="B90" s="29"/>
      <c r="C90" s="35"/>
      <c r="D90" s="35"/>
      <c r="E90" s="35"/>
      <c r="F90" s="40" t="s">
        <v>78</v>
      </c>
      <c r="G90" s="41" t="s">
        <v>341</v>
      </c>
      <c r="H90" s="42"/>
      <c r="I90" s="51" t="s">
        <v>342</v>
      </c>
      <c r="J90" s="59" t="s">
        <v>64</v>
      </c>
      <c r="K90" s="44" t="str">
        <f>Jawaban!K90</f>
        <v>A</v>
      </c>
      <c r="L90" s="56">
        <f>Jawaban!L90</f>
        <v>0</v>
      </c>
      <c r="M90" s="51" t="s">
        <v>343</v>
      </c>
      <c r="N90" s="46" t="s">
        <v>65</v>
      </c>
      <c r="O90" s="47">
        <f t="shared" si="21"/>
        <v>1</v>
      </c>
      <c r="P90" s="79"/>
      <c r="Q90" s="49"/>
      <c r="R90" s="50" t="str">
        <f>Jawaban!R90</f>
        <v>c. Hasil evaluasi atas penerapan Whistle Blowing System telah ditindaklanjuti.</v>
      </c>
      <c r="S90" s="51">
        <f>Jawaban!S90</f>
        <v>0</v>
      </c>
      <c r="T90" s="51">
        <f>Jawaban!T90</f>
        <v>0</v>
      </c>
      <c r="U90" s="51">
        <f>Jawaban!U90</f>
        <v>0</v>
      </c>
      <c r="V90" s="51">
        <f>Jawaban!V90</f>
        <v>0</v>
      </c>
    </row>
    <row r="91" ht="15.75" customHeight="1" spans="1:22">
      <c r="A91" s="12">
        <v>96</v>
      </c>
      <c r="B91" s="30"/>
      <c r="C91" s="35"/>
      <c r="D91" s="35"/>
      <c r="E91" s="35" t="s">
        <v>229</v>
      </c>
      <c r="F91" s="29" t="s">
        <v>345</v>
      </c>
      <c r="G91" s="30"/>
      <c r="H91" s="36">
        <v>1.5</v>
      </c>
      <c r="I91" s="37"/>
      <c r="J91" s="36"/>
      <c r="K91" s="36">
        <f>Jawaban!K91</f>
        <v>0</v>
      </c>
      <c r="L91" s="54">
        <f>Jawaban!L91</f>
        <v>0</v>
      </c>
      <c r="M91" s="55"/>
      <c r="N91" s="36"/>
      <c r="O91" s="36">
        <f>AVERAGE(O92:O96)*H91</f>
        <v>1.5</v>
      </c>
      <c r="P91" s="83">
        <f>O91/H91</f>
        <v>1</v>
      </c>
      <c r="Q91" s="39"/>
      <c r="R91" s="51">
        <f>Jawaban!R91</f>
        <v>0</v>
      </c>
      <c r="S91" s="51">
        <f>Jawaban!S91</f>
        <v>0</v>
      </c>
      <c r="T91" s="51">
        <f>Jawaban!T91</f>
        <v>0</v>
      </c>
      <c r="U91" s="51">
        <f>Jawaban!U91</f>
        <v>0</v>
      </c>
      <c r="V91" s="51">
        <f>Jawaban!V91</f>
        <v>0</v>
      </c>
    </row>
    <row r="92" ht="199.5" customHeight="1" spans="1:22">
      <c r="A92" s="12">
        <v>97</v>
      </c>
      <c r="B92" s="29"/>
      <c r="C92" s="35"/>
      <c r="D92" s="35"/>
      <c r="E92" s="35"/>
      <c r="F92" s="40" t="s">
        <v>54</v>
      </c>
      <c r="G92" s="41" t="s">
        <v>346</v>
      </c>
      <c r="H92" s="42"/>
      <c r="I92" s="51" t="s">
        <v>347</v>
      </c>
      <c r="J92" s="59" t="s">
        <v>87</v>
      </c>
      <c r="K92" s="44" t="str">
        <f>Jawaban!K92</f>
        <v>A</v>
      </c>
      <c r="L92" s="56">
        <f>Jawaban!L92</f>
        <v>0</v>
      </c>
      <c r="M92" s="51" t="s">
        <v>348</v>
      </c>
      <c r="N92" s="46" t="s">
        <v>65</v>
      </c>
      <c r="O92" s="47">
        <f t="shared" ref="O92:O96" si="22">IF(J92="Ya/Tidak",IF(N92="Ya",1,IF(N92="Tidak",0,"Blm Diisi")),IF(J92="A/B/C",IF(N92="A",1,IF(N92="B",0.5,IF(N92="C",0,"Blm Diisi"))),IF(J92="A/B/C/D",IF(N92="A",1,IF(N92="B",0.67,IF(N92="C",0.33,IF(N92="D",0,"Blm Diisi")))),IF(J92="A/B/C/D/E",IF(N92="A",1,IF(N92="B",0.75,IF(N92="C",0.5,IF(N92="D",0.25,IF(N92="E",0,"Blm Diisi"))))),IF(J92="%",IF(N92="","Blm Diisi",N92),IF(J92="Jumlah",IF(N92="","Blm Diisi",""),IF(J92="Rupiah",IF(N92="","Blm Diisi",""),IF(J92="","","-"))))))))</f>
        <v>1</v>
      </c>
      <c r="P92" s="79"/>
      <c r="Q92" s="71"/>
      <c r="R92" s="50" t="str">
        <f>Jawaban!R92</f>
        <v>a. Telah terdapat identifikasi/pemetaan benturan kepentingan dalam tugas fungsi utama.</v>
      </c>
      <c r="S92" s="51">
        <f>Jawaban!S92</f>
        <v>0</v>
      </c>
      <c r="T92" s="51">
        <f>Jawaban!T92</f>
        <v>0</v>
      </c>
      <c r="U92" s="51">
        <f>Jawaban!U92</f>
        <v>0</v>
      </c>
      <c r="V92" s="51">
        <f>Jawaban!V92</f>
        <v>0</v>
      </c>
    </row>
    <row r="93" ht="15.75" customHeight="1" spans="1:22">
      <c r="A93" s="12">
        <v>98</v>
      </c>
      <c r="B93" s="29"/>
      <c r="C93" s="35"/>
      <c r="D93" s="35"/>
      <c r="E93" s="35"/>
      <c r="F93" s="40" t="s">
        <v>61</v>
      </c>
      <c r="G93" s="41" t="s">
        <v>350</v>
      </c>
      <c r="H93" s="42"/>
      <c r="I93" s="51" t="s">
        <v>351</v>
      </c>
      <c r="J93" s="59" t="s">
        <v>87</v>
      </c>
      <c r="K93" s="44" t="str">
        <f>Jawaban!K93</f>
        <v>A</v>
      </c>
      <c r="L93" s="56">
        <f>Jawaban!L93</f>
        <v>0</v>
      </c>
      <c r="M93" s="51" t="s">
        <v>352</v>
      </c>
      <c r="N93" s="46" t="s">
        <v>65</v>
      </c>
      <c r="O93" s="47">
        <f t="shared" si="22"/>
        <v>1</v>
      </c>
      <c r="P93" s="48"/>
      <c r="Q93" s="87"/>
      <c r="R93" s="50" t="str">
        <f>Jawaban!R93</f>
        <v>b. Penanganan Benturan Kepentingan telah disosialisasikan/internalisasi.</v>
      </c>
      <c r="S93" s="51">
        <f>Jawaban!S93</f>
        <v>0</v>
      </c>
      <c r="T93" s="51">
        <f>Jawaban!T93</f>
        <v>0</v>
      </c>
      <c r="U93" s="51">
        <f>Jawaban!U93</f>
        <v>0</v>
      </c>
      <c r="V93" s="51">
        <f>Jawaban!V93</f>
        <v>0</v>
      </c>
    </row>
    <row r="94" ht="183.75" customHeight="1" spans="1:22">
      <c r="A94" s="12">
        <v>99</v>
      </c>
      <c r="B94" s="29"/>
      <c r="C94" s="35"/>
      <c r="D94" s="35"/>
      <c r="E94" s="35"/>
      <c r="F94" s="40" t="s">
        <v>78</v>
      </c>
      <c r="G94" s="41" t="s">
        <v>354</v>
      </c>
      <c r="H94" s="42"/>
      <c r="I94" s="51" t="s">
        <v>355</v>
      </c>
      <c r="J94" s="59" t="s">
        <v>87</v>
      </c>
      <c r="K94" s="44" t="str">
        <f>Jawaban!K94</f>
        <v>A</v>
      </c>
      <c r="L94" s="56">
        <f>Jawaban!L94</f>
        <v>0</v>
      </c>
      <c r="M94" s="51" t="s">
        <v>356</v>
      </c>
      <c r="N94" s="46" t="s">
        <v>65</v>
      </c>
      <c r="O94" s="47">
        <f t="shared" si="22"/>
        <v>1</v>
      </c>
      <c r="P94" s="79"/>
      <c r="Q94" s="49"/>
      <c r="R94" s="50" t="str">
        <f>Jawaban!R94</f>
        <v>c. Penanganan Benturan Kepentingan telah diimplementasikan. </v>
      </c>
      <c r="S94" s="51">
        <f>Jawaban!S94</f>
        <v>0</v>
      </c>
      <c r="T94" s="51">
        <f>Jawaban!T94</f>
        <v>0</v>
      </c>
      <c r="U94" s="51">
        <f>Jawaban!U94</f>
        <v>0</v>
      </c>
      <c r="V94" s="51">
        <f>Jawaban!V94</f>
        <v>0</v>
      </c>
    </row>
    <row r="95" ht="115.5" customHeight="1" spans="1:22">
      <c r="A95" s="12">
        <v>100</v>
      </c>
      <c r="B95" s="29"/>
      <c r="C95" s="35"/>
      <c r="D95" s="35"/>
      <c r="E95" s="35"/>
      <c r="F95" s="40" t="s">
        <v>112</v>
      </c>
      <c r="G95" s="41" t="s">
        <v>358</v>
      </c>
      <c r="H95" s="42"/>
      <c r="I95" s="51" t="s">
        <v>359</v>
      </c>
      <c r="J95" s="59" t="s">
        <v>64</v>
      </c>
      <c r="K95" s="44" t="str">
        <f>Jawaban!K95</f>
        <v>A</v>
      </c>
      <c r="L95" s="56">
        <f>Jawaban!L95</f>
        <v>0</v>
      </c>
      <c r="M95" s="51" t="s">
        <v>360</v>
      </c>
      <c r="N95" s="46" t="s">
        <v>65</v>
      </c>
      <c r="O95" s="47">
        <f t="shared" si="22"/>
        <v>1</v>
      </c>
      <c r="P95" s="79"/>
      <c r="Q95" s="49"/>
      <c r="R95" s="50" t="str">
        <f>Jawaban!R95</f>
        <v>d. Telah dilakukan evaluasi atas Penanganan Benturan Kepentingan.</v>
      </c>
      <c r="S95" s="51">
        <f>Jawaban!S95</f>
        <v>0</v>
      </c>
      <c r="T95" s="51">
        <f>Jawaban!T95</f>
        <v>0</v>
      </c>
      <c r="U95" s="51">
        <f>Jawaban!U95</f>
        <v>0</v>
      </c>
      <c r="V95" s="51">
        <f>Jawaban!V95</f>
        <v>0</v>
      </c>
    </row>
    <row r="96" ht="161.25" customHeight="1" spans="1:22">
      <c r="A96" s="12">
        <v>101</v>
      </c>
      <c r="B96" s="29"/>
      <c r="C96" s="35"/>
      <c r="D96" s="35"/>
      <c r="E96" s="35"/>
      <c r="F96" s="40" t="s">
        <v>201</v>
      </c>
      <c r="G96" s="41" t="s">
        <v>362</v>
      </c>
      <c r="H96" s="42"/>
      <c r="I96" s="51" t="s">
        <v>363</v>
      </c>
      <c r="J96" s="59" t="s">
        <v>64</v>
      </c>
      <c r="K96" s="44" t="str">
        <f>Jawaban!K96</f>
        <v>A</v>
      </c>
      <c r="L96" s="56">
        <f>Jawaban!L96</f>
        <v>0</v>
      </c>
      <c r="M96" s="51" t="s">
        <v>364</v>
      </c>
      <c r="N96" s="46" t="s">
        <v>65</v>
      </c>
      <c r="O96" s="47">
        <f t="shared" si="22"/>
        <v>1</v>
      </c>
      <c r="P96" s="79"/>
      <c r="Q96" s="49"/>
      <c r="R96" s="50" t="str">
        <f>Jawaban!R96</f>
        <v>e. Hasil evaluasi atas Penanganan Benturan Kepentingan telah ditindaklanjuti.</v>
      </c>
      <c r="S96" s="51">
        <f>Jawaban!S96</f>
        <v>0</v>
      </c>
      <c r="T96" s="51">
        <f>Jawaban!T96</f>
        <v>0</v>
      </c>
      <c r="U96" s="51">
        <f>Jawaban!U96</f>
        <v>0</v>
      </c>
      <c r="V96" s="51">
        <f>Jawaban!V96</f>
        <v>0</v>
      </c>
    </row>
    <row r="97" ht="15.75" customHeight="1" spans="1:22">
      <c r="A97" s="12">
        <v>102</v>
      </c>
      <c r="B97" s="26"/>
      <c r="C97" s="61"/>
      <c r="D97" s="28" t="s">
        <v>21</v>
      </c>
      <c r="E97" s="29" t="s">
        <v>22</v>
      </c>
      <c r="F97" s="29"/>
      <c r="G97" s="30"/>
      <c r="H97" s="31">
        <v>5</v>
      </c>
      <c r="I97" s="32"/>
      <c r="J97" s="31"/>
      <c r="K97" s="31">
        <f>Jawaban!K97</f>
        <v>0</v>
      </c>
      <c r="L97" s="54">
        <f>Jawaban!L97</f>
        <v>0</v>
      </c>
      <c r="M97" s="55"/>
      <c r="N97" s="31"/>
      <c r="O97" s="31">
        <f>SUM(O98,O103,O114,O118,O110)</f>
        <v>5</v>
      </c>
      <c r="P97" s="88">
        <f t="shared" ref="P97:P98" si="23">O97/H97</f>
        <v>1</v>
      </c>
      <c r="Q97" s="34"/>
      <c r="R97" s="51">
        <f>Jawaban!R97</f>
        <v>0</v>
      </c>
      <c r="S97" s="51">
        <f>Jawaban!S97</f>
        <v>0</v>
      </c>
      <c r="T97" s="51">
        <f>Jawaban!T97</f>
        <v>0</v>
      </c>
      <c r="U97" s="51">
        <f>Jawaban!U97</f>
        <v>0</v>
      </c>
      <c r="V97" s="51">
        <f>Jawaban!V97</f>
        <v>0</v>
      </c>
    </row>
    <row r="98" ht="15.75" customHeight="1" spans="1:22">
      <c r="A98" s="12">
        <v>103</v>
      </c>
      <c r="B98" s="30"/>
      <c r="C98" s="35"/>
      <c r="D98" s="35"/>
      <c r="E98" s="35" t="s">
        <v>52</v>
      </c>
      <c r="F98" s="29" t="s">
        <v>366</v>
      </c>
      <c r="G98" s="30"/>
      <c r="H98" s="36">
        <v>1</v>
      </c>
      <c r="I98" s="37"/>
      <c r="J98" s="36"/>
      <c r="K98" s="36">
        <f>Jawaban!K98</f>
        <v>0</v>
      </c>
      <c r="L98" s="54">
        <f>Jawaban!L98</f>
        <v>0</v>
      </c>
      <c r="M98" s="55"/>
      <c r="N98" s="36"/>
      <c r="O98" s="36">
        <f>AVERAGE(O99:O102)*H98</f>
        <v>1</v>
      </c>
      <c r="P98" s="83">
        <f t="shared" si="23"/>
        <v>1</v>
      </c>
      <c r="Q98" s="39"/>
      <c r="R98" s="51">
        <f>Jawaban!R98</f>
        <v>0</v>
      </c>
      <c r="S98" s="51">
        <f>Jawaban!S98</f>
        <v>0</v>
      </c>
      <c r="T98" s="51">
        <f>Jawaban!T98</f>
        <v>0</v>
      </c>
      <c r="U98" s="51">
        <f>Jawaban!U98</f>
        <v>0</v>
      </c>
      <c r="V98" s="51">
        <f>Jawaban!V98</f>
        <v>0</v>
      </c>
    </row>
    <row r="99" ht="293.25" customHeight="1" spans="1:22">
      <c r="A99" s="12">
        <v>104</v>
      </c>
      <c r="B99" s="29"/>
      <c r="C99" s="35"/>
      <c r="D99" s="35"/>
      <c r="E99" s="35"/>
      <c r="F99" s="40" t="s">
        <v>54</v>
      </c>
      <c r="G99" s="41" t="s">
        <v>367</v>
      </c>
      <c r="H99" s="42"/>
      <c r="I99" s="51" t="s">
        <v>368</v>
      </c>
      <c r="J99" s="59" t="s">
        <v>124</v>
      </c>
      <c r="K99" s="44" t="str">
        <f>Jawaban!K99</f>
        <v>A</v>
      </c>
      <c r="L99" s="56">
        <f>Jawaban!L99</f>
        <v>0</v>
      </c>
      <c r="M99" s="51" t="s">
        <v>369</v>
      </c>
      <c r="N99" s="46" t="s">
        <v>65</v>
      </c>
      <c r="O99" s="47">
        <f t="shared" ref="O99:O102" si="24">IF(J99="Ya/Tidak",IF(N99="Ya",1,IF(N99="Tidak",0,"Blm Diisi")),IF(J99="A/B/C",IF(N99="A",1,IF(N99="B",0.5,IF(N99="C",0,"Blm Diisi"))),IF(J99="A/B/C/D",IF(N99="A",1,IF(N99="B",0.67,IF(N99="C",0.33,IF(N99="D",0,"Blm Diisi")))),IF(J99="A/B/C/D/E",IF(N99="A",1,IF(N99="B",0.75,IF(N99="C",0.5,IF(N99="D",0.25,IF(N99="E",0,"Blm Diisi"))))),IF(J99="%",IF(N99="","Blm Diisi",N99),IF(J99="Jumlah",IF(N99="","Blm Diisi",""),IF(J99="Rupiah",IF(N99="","Blm Diisi",""),IF(J99="","","-"))))))))</f>
        <v>1</v>
      </c>
      <c r="P99" s="79"/>
      <c r="Q99" s="49"/>
      <c r="R99" s="50" t="str">
        <f>Jawaban!R99</f>
        <v>a. Terdapat kebijakan standar pelayanan.</v>
      </c>
      <c r="S99" s="51">
        <f>Jawaban!S99</f>
        <v>0</v>
      </c>
      <c r="T99" s="51">
        <f>Jawaban!T99</f>
        <v>0</v>
      </c>
      <c r="U99" s="51">
        <f>Jawaban!U99</f>
        <v>0</v>
      </c>
      <c r="V99" s="51">
        <f>Jawaban!V99</f>
        <v>0</v>
      </c>
    </row>
    <row r="100" ht="220.5" customHeight="1" spans="1:22">
      <c r="A100" s="12">
        <v>105</v>
      </c>
      <c r="B100" s="29"/>
      <c r="C100" s="35"/>
      <c r="D100" s="35"/>
      <c r="E100" s="35"/>
      <c r="F100" s="40" t="s">
        <v>61</v>
      </c>
      <c r="G100" s="41" t="s">
        <v>371</v>
      </c>
      <c r="H100" s="42"/>
      <c r="I100" s="51" t="s">
        <v>372</v>
      </c>
      <c r="J100" s="59" t="s">
        <v>87</v>
      </c>
      <c r="K100" s="44" t="str">
        <f>Jawaban!K100</f>
        <v>A</v>
      </c>
      <c r="L100" s="52">
        <f>Jawaban!L100</f>
        <v>0</v>
      </c>
      <c r="M100" s="51" t="s">
        <v>373</v>
      </c>
      <c r="N100" s="46" t="s">
        <v>65</v>
      </c>
      <c r="O100" s="47">
        <f t="shared" si="24"/>
        <v>1</v>
      </c>
      <c r="P100" s="48"/>
      <c r="Q100" s="74"/>
      <c r="R100" s="50" t="str">
        <f>Jawaban!R100</f>
        <v>b. Standar pelayanan telah dimaklumatkan. </v>
      </c>
      <c r="S100" s="51">
        <f>Jawaban!S100</f>
        <v>0</v>
      </c>
      <c r="T100" s="51">
        <f>Jawaban!T100</f>
        <v>0</v>
      </c>
      <c r="U100" s="51">
        <f>Jawaban!U100</f>
        <v>0</v>
      </c>
      <c r="V100" s="51">
        <f>Jawaban!V100</f>
        <v>0</v>
      </c>
    </row>
    <row r="101" ht="308.25" customHeight="1" spans="1:22">
      <c r="A101" s="12">
        <v>106</v>
      </c>
      <c r="B101" s="29"/>
      <c r="C101" s="35"/>
      <c r="D101" s="35"/>
      <c r="E101" s="35"/>
      <c r="F101" s="40" t="s">
        <v>78</v>
      </c>
      <c r="G101" s="41" t="s">
        <v>375</v>
      </c>
      <c r="H101" s="42"/>
      <c r="I101" s="51" t="s">
        <v>376</v>
      </c>
      <c r="J101" s="59" t="s">
        <v>87</v>
      </c>
      <c r="K101" s="44" t="str">
        <f>Jawaban!K101</f>
        <v>A</v>
      </c>
      <c r="L101" s="56">
        <f>Jawaban!L101</f>
        <v>0</v>
      </c>
      <c r="M101" s="51" t="s">
        <v>377</v>
      </c>
      <c r="N101" s="46" t="s">
        <v>65</v>
      </c>
      <c r="O101" s="47">
        <f t="shared" si="24"/>
        <v>1</v>
      </c>
      <c r="P101" s="48"/>
      <c r="Q101" s="89"/>
      <c r="R101" s="50" t="str">
        <f>Jawaban!R101</f>
        <v>c. Dilakukan reviu dan perbaikan atas standar pelayanan.</v>
      </c>
      <c r="S101" s="51">
        <f>Jawaban!S101</f>
        <v>0</v>
      </c>
      <c r="T101" s="51">
        <f>Jawaban!T101</f>
        <v>0</v>
      </c>
      <c r="U101" s="51">
        <f>Jawaban!U101</f>
        <v>0</v>
      </c>
      <c r="V101" s="51">
        <f>Jawaban!V101</f>
        <v>0</v>
      </c>
    </row>
    <row r="102" ht="54" customHeight="1" spans="1:22">
      <c r="B102" s="29"/>
      <c r="C102" s="35"/>
      <c r="D102" s="35"/>
      <c r="E102" s="35"/>
      <c r="F102" s="40" t="s">
        <v>112</v>
      </c>
      <c r="G102" s="41" t="s">
        <v>379</v>
      </c>
      <c r="H102" s="42"/>
      <c r="I102" s="51" t="s">
        <v>380</v>
      </c>
      <c r="J102" s="59" t="s">
        <v>57</v>
      </c>
      <c r="K102" s="44" t="str">
        <f>Jawaban!K102</f>
        <v>Ya</v>
      </c>
      <c r="L102" s="56">
        <f>Jawaban!L102</f>
        <v>0</v>
      </c>
      <c r="M102" s="51" t="s">
        <v>381</v>
      </c>
      <c r="N102" s="46" t="s">
        <v>58</v>
      </c>
      <c r="O102" s="47">
        <f t="shared" si="24"/>
        <v>1</v>
      </c>
      <c r="P102" s="48"/>
      <c r="Q102" s="90"/>
      <c r="R102" s="50" t="str">
        <f>Jawaban!R102</f>
        <v>d. Telah melakukan publikasi atas standar pelayanan dan maklumat pelayanan.</v>
      </c>
      <c r="S102" s="51">
        <f>Jawaban!S102</f>
        <v>0</v>
      </c>
      <c r="T102" s="51">
        <f>Jawaban!T102</f>
        <v>0</v>
      </c>
      <c r="U102" s="51">
        <f>Jawaban!U102</f>
        <v>0</v>
      </c>
      <c r="V102" s="51">
        <f>Jawaban!V102</f>
        <v>0</v>
      </c>
    </row>
    <row r="103" ht="15.75" customHeight="1" spans="1:22">
      <c r="A103" s="12">
        <v>108</v>
      </c>
      <c r="B103" s="30"/>
      <c r="C103" s="35"/>
      <c r="D103" s="35"/>
      <c r="E103" s="35" t="s">
        <v>68</v>
      </c>
      <c r="F103" s="29" t="s">
        <v>383</v>
      </c>
      <c r="G103" s="30"/>
      <c r="H103" s="36">
        <v>1</v>
      </c>
      <c r="I103" s="37"/>
      <c r="J103" s="36"/>
      <c r="K103" s="36">
        <f>Jawaban!K103</f>
        <v>0</v>
      </c>
      <c r="L103" s="54">
        <f>Jawaban!L103</f>
        <v>0</v>
      </c>
      <c r="M103" s="55"/>
      <c r="N103" s="36"/>
      <c r="O103" s="36">
        <f>AVERAGE(O104:O109)*H103</f>
        <v>1</v>
      </c>
      <c r="P103" s="38">
        <f>O103/H103</f>
        <v>1</v>
      </c>
      <c r="Q103" s="78"/>
      <c r="R103" s="51">
        <f>Jawaban!R103</f>
        <v>0</v>
      </c>
      <c r="S103" s="51">
        <f>Jawaban!S103</f>
        <v>0</v>
      </c>
      <c r="T103" s="51">
        <f>Jawaban!T103</f>
        <v>0</v>
      </c>
      <c r="U103" s="51">
        <f>Jawaban!U103</f>
        <v>0</v>
      </c>
      <c r="V103" s="51">
        <f>Jawaban!V103</f>
        <v>0</v>
      </c>
    </row>
    <row r="104" ht="15.75" customHeight="1" spans="1:22">
      <c r="A104" s="12">
        <v>109</v>
      </c>
      <c r="B104" s="29"/>
      <c r="C104" s="35"/>
      <c r="D104" s="35"/>
      <c r="E104" s="35"/>
      <c r="F104" s="40" t="s">
        <v>54</v>
      </c>
      <c r="G104" s="41" t="s">
        <v>384</v>
      </c>
      <c r="H104" s="42"/>
      <c r="I104" s="51" t="s">
        <v>385</v>
      </c>
      <c r="J104" s="59" t="s">
        <v>124</v>
      </c>
      <c r="K104" s="44" t="str">
        <f>Jawaban!K104</f>
        <v>A</v>
      </c>
      <c r="L104" s="56">
        <f>Jawaban!L104</f>
        <v>0</v>
      </c>
      <c r="M104" s="51" t="s">
        <v>386</v>
      </c>
      <c r="N104" s="46" t="s">
        <v>65</v>
      </c>
      <c r="O104" s="47">
        <f t="shared" ref="O104:O109" si="25">IF(J104="Ya/Tidak",IF(N104="Ya",1,IF(N104="Tidak",0,"Blm Diisi")),IF(J104="A/B/C",IF(N104="A",1,IF(N104="B",0.5,IF(N104="C",0,"Blm Diisi"))),IF(J104="A/B/C/D",IF(N104="A",1,IF(N104="B",0.67,IF(N104="C",0.33,IF(N104="D",0,"Blm Diisi")))),IF(J104="A/B/C/D/E",IF(N104="A",1,IF(N104="B",0.75,IF(N104="C",0.5,IF(N104="D",0.25,IF(N104="E",0,"Blm Diisi"))))),IF(J104="%",IF(N104="","Blm Diisi",N104),IF(J104="Jumlah",IF(N104="","Blm Diisi",""),IF(J104="Rupiah",IF(N104="","Blm Diisi",""),IF(J104="","","-"))))))))</f>
        <v>1</v>
      </c>
      <c r="P104" s="79"/>
      <c r="Q104" s="49"/>
      <c r="R104" s="50" t="str">
        <f>Jawaban!R104</f>
        <v>a. Telah dilakukan berbagai upaya peningkatan kemampuan dan/atau kompetensi tentang penerapan budaya pelayanan prima. </v>
      </c>
      <c r="S104" s="51">
        <f>Jawaban!S104</f>
        <v>0</v>
      </c>
      <c r="T104" s="51">
        <f>Jawaban!T104</f>
        <v>0</v>
      </c>
      <c r="U104" s="51">
        <f>Jawaban!U104</f>
        <v>0</v>
      </c>
      <c r="V104" s="51">
        <f>Jawaban!V104</f>
        <v>0</v>
      </c>
    </row>
    <row r="105" ht="283.5" customHeight="1" spans="1:22">
      <c r="A105" s="12">
        <v>110</v>
      </c>
      <c r="B105" s="29"/>
      <c r="C105" s="35"/>
      <c r="D105" s="35"/>
      <c r="E105" s="35"/>
      <c r="F105" s="40" t="s">
        <v>61</v>
      </c>
      <c r="G105" s="41" t="s">
        <v>388</v>
      </c>
      <c r="H105" s="42"/>
      <c r="I105" s="51" t="s">
        <v>389</v>
      </c>
      <c r="J105" s="59" t="s">
        <v>87</v>
      </c>
      <c r="K105" s="44" t="str">
        <f>Jawaban!K105</f>
        <v>A</v>
      </c>
      <c r="L105" s="56">
        <f>Jawaban!L105</f>
        <v>0</v>
      </c>
      <c r="M105" s="51" t="s">
        <v>390</v>
      </c>
      <c r="N105" s="46" t="s">
        <v>65</v>
      </c>
      <c r="O105" s="47">
        <f t="shared" si="25"/>
        <v>1</v>
      </c>
      <c r="P105" s="79"/>
      <c r="Q105" s="57"/>
      <c r="R105" s="50" t="str">
        <f>Jawaban!R105</f>
        <v>b. Informasi tentang pelayanan mudah diakses melalui berbagai media.</v>
      </c>
      <c r="S105" s="51">
        <f>Jawaban!S105</f>
        <v>0</v>
      </c>
      <c r="T105" s="51">
        <f>Jawaban!T105</f>
        <v>0</v>
      </c>
      <c r="U105" s="51">
        <f>Jawaban!U105</f>
        <v>0</v>
      </c>
      <c r="V105" s="51">
        <f>Jawaban!V105</f>
        <v>0</v>
      </c>
    </row>
    <row r="106" ht="291" customHeight="1" spans="1:22">
      <c r="A106" s="12">
        <v>111</v>
      </c>
      <c r="B106" s="29"/>
      <c r="C106" s="35"/>
      <c r="D106" s="35"/>
      <c r="E106" s="35"/>
      <c r="F106" s="40" t="s">
        <v>78</v>
      </c>
      <c r="G106" s="41" t="s">
        <v>392</v>
      </c>
      <c r="H106" s="42"/>
      <c r="I106" s="51" t="s">
        <v>393</v>
      </c>
      <c r="J106" s="59" t="s">
        <v>87</v>
      </c>
      <c r="K106" s="44" t="str">
        <f>Jawaban!K106</f>
        <v>A</v>
      </c>
      <c r="L106" s="56">
        <f>Jawaban!L106</f>
        <v>0</v>
      </c>
      <c r="M106" s="51" t="s">
        <v>394</v>
      </c>
      <c r="N106" s="46" t="s">
        <v>65</v>
      </c>
      <c r="O106" s="47">
        <f t="shared" si="25"/>
        <v>1</v>
      </c>
      <c r="P106" s="79"/>
      <c r="Q106" s="57"/>
      <c r="R106" s="50" t="str">
        <f>Jawaban!R106</f>
        <v>c. Telah terdapat sistem pemberian penghargaan dan sanksi bagi petugas pemberi pelayanan.</v>
      </c>
      <c r="S106" s="51">
        <f>Jawaban!S106</f>
        <v>0</v>
      </c>
      <c r="T106" s="51">
        <f>Jawaban!T106</f>
        <v>0</v>
      </c>
      <c r="U106" s="51">
        <f>Jawaban!U106</f>
        <v>0</v>
      </c>
      <c r="V106" s="51">
        <f>Jawaban!V106</f>
        <v>0</v>
      </c>
    </row>
    <row r="107" ht="15.75" customHeight="1" spans="1:22">
      <c r="B107" s="29"/>
      <c r="C107" s="35"/>
      <c r="D107" s="35"/>
      <c r="E107" s="35"/>
      <c r="F107" s="40" t="s">
        <v>112</v>
      </c>
      <c r="G107" s="41" t="s">
        <v>396</v>
      </c>
      <c r="H107" s="42"/>
      <c r="I107" s="51" t="s">
        <v>397</v>
      </c>
      <c r="J107" s="59" t="s">
        <v>87</v>
      </c>
      <c r="K107" s="44" t="str">
        <f>Jawaban!K107</f>
        <v>A</v>
      </c>
      <c r="L107" s="56">
        <f>Jawaban!L107</f>
        <v>0</v>
      </c>
      <c r="M107" s="51" t="s">
        <v>398</v>
      </c>
      <c r="N107" s="46" t="s">
        <v>65</v>
      </c>
      <c r="O107" s="47">
        <f t="shared" si="25"/>
        <v>1</v>
      </c>
      <c r="P107" s="79"/>
      <c r="Q107" s="57"/>
      <c r="R107" s="50" t="str">
        <f>Jawaban!R107</f>
        <v>d. Telah terdapat sistem pemberian kompensasi kepada penerima layanan bila layanan tidak sesuai standar.</v>
      </c>
      <c r="S107" s="51">
        <f>Jawaban!S107</f>
        <v>0</v>
      </c>
      <c r="T107" s="51">
        <f>Jawaban!T107</f>
        <v>0</v>
      </c>
      <c r="U107" s="51">
        <f>Jawaban!U107</f>
        <v>0</v>
      </c>
      <c r="V107" s="51">
        <f>Jawaban!V107</f>
        <v>0</v>
      </c>
    </row>
    <row r="108" ht="150.75" customHeight="1" spans="1:22">
      <c r="A108" s="12">
        <v>112</v>
      </c>
      <c r="B108" s="29"/>
      <c r="C108" s="35"/>
      <c r="D108" s="35"/>
      <c r="E108" s="35"/>
      <c r="F108" s="40" t="s">
        <v>201</v>
      </c>
      <c r="G108" s="41" t="s">
        <v>400</v>
      </c>
      <c r="H108" s="42"/>
      <c r="I108" s="51" t="s">
        <v>401</v>
      </c>
      <c r="J108" s="59" t="s">
        <v>87</v>
      </c>
      <c r="K108" s="44" t="str">
        <f>Jawaban!K108</f>
        <v>A</v>
      </c>
      <c r="L108" s="51">
        <f>Jawaban!L108</f>
        <v>0</v>
      </c>
      <c r="M108" s="51" t="s">
        <v>402</v>
      </c>
      <c r="N108" s="46" t="s">
        <v>65</v>
      </c>
      <c r="O108" s="47">
        <f t="shared" si="25"/>
        <v>1</v>
      </c>
      <c r="P108" s="79"/>
      <c r="Q108" s="57"/>
      <c r="R108" s="50" t="str">
        <f>Jawaban!R108</f>
        <v>e. Terdapat sarana layanan terpadu/terintegrasi.</v>
      </c>
      <c r="S108" s="51">
        <f>Jawaban!S108</f>
        <v>0</v>
      </c>
      <c r="T108" s="51">
        <f>Jawaban!T108</f>
        <v>0</v>
      </c>
      <c r="U108" s="51">
        <f>Jawaban!U108</f>
        <v>0</v>
      </c>
      <c r="V108" s="51">
        <f>Jawaban!V108</f>
        <v>0</v>
      </c>
    </row>
    <row r="109" ht="15.75" customHeight="1" spans="1:22">
      <c r="A109" s="12">
        <v>113</v>
      </c>
      <c r="B109" s="29"/>
      <c r="C109" s="35"/>
      <c r="D109" s="35"/>
      <c r="E109" s="35"/>
      <c r="F109" s="40" t="s">
        <v>206</v>
      </c>
      <c r="G109" s="41" t="s">
        <v>404</v>
      </c>
      <c r="H109" s="42"/>
      <c r="I109" s="51" t="s">
        <v>405</v>
      </c>
      <c r="J109" s="59" t="s">
        <v>124</v>
      </c>
      <c r="K109" s="44" t="str">
        <f>Jawaban!K109</f>
        <v>A</v>
      </c>
      <c r="L109" s="56">
        <f>Jawaban!L109</f>
        <v>0</v>
      </c>
      <c r="M109" s="51" t="s">
        <v>406</v>
      </c>
      <c r="N109" s="46" t="s">
        <v>65</v>
      </c>
      <c r="O109" s="47">
        <f t="shared" si="25"/>
        <v>1</v>
      </c>
      <c r="P109" s="79"/>
      <c r="Q109" s="57"/>
      <c r="R109" s="50" t="str">
        <f>Jawaban!R109</f>
        <v>f. Terdapat inovasi pelayanan.</v>
      </c>
      <c r="S109" s="51">
        <f>Jawaban!S109</f>
        <v>0</v>
      </c>
      <c r="T109" s="51">
        <f>Jawaban!T109</f>
        <v>0</v>
      </c>
      <c r="U109" s="51">
        <f>Jawaban!U109</f>
        <v>0</v>
      </c>
      <c r="V109" s="51">
        <f>Jawaban!V109</f>
        <v>0</v>
      </c>
    </row>
    <row r="110" ht="15.75" customHeight="1" spans="1:22">
      <c r="A110" s="12">
        <v>114</v>
      </c>
      <c r="B110" s="30"/>
      <c r="C110" s="35"/>
      <c r="D110" s="35"/>
      <c r="E110" s="35" t="s">
        <v>83</v>
      </c>
      <c r="F110" s="29" t="s">
        <v>408</v>
      </c>
      <c r="G110" s="30"/>
      <c r="H110" s="36">
        <v>1</v>
      </c>
      <c r="I110" s="37"/>
      <c r="J110" s="36"/>
      <c r="K110" s="36">
        <f>Jawaban!K110</f>
        <v>0</v>
      </c>
      <c r="L110" s="54">
        <f>Jawaban!L110</f>
        <v>0</v>
      </c>
      <c r="M110" s="55"/>
      <c r="N110" s="36"/>
      <c r="O110" s="36">
        <f>AVERAGE(O111:O113)*H110</f>
        <v>1</v>
      </c>
      <c r="P110" s="38">
        <f>O110/H110</f>
        <v>1</v>
      </c>
      <c r="Q110" s="91"/>
      <c r="R110" s="51">
        <f>Jawaban!R110</f>
        <v>0</v>
      </c>
      <c r="S110" s="51">
        <f>Jawaban!S110</f>
        <v>0</v>
      </c>
      <c r="T110" s="51">
        <f>Jawaban!T110</f>
        <v>0</v>
      </c>
      <c r="U110" s="51">
        <f>Jawaban!U110</f>
        <v>0</v>
      </c>
      <c r="V110" s="51">
        <f>Jawaban!V110</f>
        <v>0</v>
      </c>
    </row>
    <row r="111" ht="330.75" customHeight="1" spans="1:22">
      <c r="A111" s="12">
        <v>115</v>
      </c>
      <c r="B111" s="29"/>
      <c r="C111" s="35"/>
      <c r="D111" s="35"/>
      <c r="E111" s="35"/>
      <c r="F111" s="40" t="s">
        <v>54</v>
      </c>
      <c r="G111" s="41" t="s">
        <v>409</v>
      </c>
      <c r="H111" s="42"/>
      <c r="I111" s="51" t="s">
        <v>410</v>
      </c>
      <c r="J111" s="59" t="s">
        <v>124</v>
      </c>
      <c r="K111" s="44" t="str">
        <f>Jawaban!K111</f>
        <v>A</v>
      </c>
      <c r="L111" s="52">
        <f>Jawaban!L111</f>
        <v>0</v>
      </c>
      <c r="M111" s="51" t="s">
        <v>411</v>
      </c>
      <c r="N111" s="46" t="s">
        <v>65</v>
      </c>
      <c r="O111" s="47">
        <f t="shared" ref="O111:O113" si="26">IF(J111="Ya/Tidak",IF(N111="Ya",1,IF(N111="Tidak",0,"Blm Diisi")),IF(J111="A/B/C",IF(N111="A",1,IF(N111="B",0.5,IF(N111="C",0,"Blm Diisi"))),IF(J111="A/B/C/D",IF(N111="A",1,IF(N111="B",0.67,IF(N111="C",0.33,IF(N111="D",0,"Blm Diisi")))),IF(J111="A/B/C/D/E",IF(N111="A",1,IF(N111="B",0.75,IF(N111="C",0.5,IF(N111="D",0.25,IF(N111="E",0,"Blm Diisi"))))),IF(J111="%",IF(N111="","Blm Diisi",N111),IF(J111="Jumlah",IF(N111="","Blm Diisi",""),IF(J111="Rupiah",IF(N111="","Blm Diisi",""),IF(J111="","","-"))))))))</f>
        <v>1</v>
      </c>
      <c r="P111" s="48"/>
      <c r="Q111" s="82"/>
      <c r="R111" s="50" t="str">
        <f>Jawaban!R111</f>
        <v>a. Terdapat media pengaduan dan konsultasi pelayanan yang terintegrasi dengan SP4N-Lapor!. </v>
      </c>
      <c r="S111" s="51">
        <f>Jawaban!S111</f>
        <v>0</v>
      </c>
      <c r="T111" s="51">
        <f>Jawaban!T111</f>
        <v>0</v>
      </c>
      <c r="U111" s="51">
        <f>Jawaban!U111</f>
        <v>0</v>
      </c>
      <c r="V111" s="51">
        <f>Jawaban!V111</f>
        <v>0</v>
      </c>
    </row>
    <row r="112" ht="227.25" customHeight="1" spans="1:22">
      <c r="A112" s="12">
        <v>116</v>
      </c>
      <c r="B112" s="92"/>
      <c r="C112" s="35"/>
      <c r="D112" s="35"/>
      <c r="E112" s="35"/>
      <c r="F112" s="40" t="s">
        <v>61</v>
      </c>
      <c r="G112" s="41" t="s">
        <v>413</v>
      </c>
      <c r="H112" s="42"/>
      <c r="I112" s="51" t="s">
        <v>414</v>
      </c>
      <c r="J112" s="59" t="s">
        <v>64</v>
      </c>
      <c r="K112" s="44" t="str">
        <f>Jawaban!K112</f>
        <v>A</v>
      </c>
      <c r="L112" s="51">
        <f>Jawaban!L112</f>
        <v>0</v>
      </c>
      <c r="M112" s="51" t="s">
        <v>415</v>
      </c>
      <c r="N112" s="46" t="s">
        <v>65</v>
      </c>
      <c r="O112" s="47">
        <f t="shared" si="26"/>
        <v>1</v>
      </c>
      <c r="P112" s="48"/>
      <c r="Q112" s="74"/>
      <c r="R112" s="50" t="str">
        <f>Jawaban!R112</f>
        <v>b. Terdapat unit yang mengelola pengaduan dan konsultasi pelayanan.</v>
      </c>
      <c r="S112" s="51">
        <f>Jawaban!S112</f>
        <v>0</v>
      </c>
      <c r="T112" s="51">
        <f>Jawaban!T112</f>
        <v>0</v>
      </c>
      <c r="U112" s="51">
        <f>Jawaban!U112</f>
        <v>0</v>
      </c>
      <c r="V112" s="51">
        <f>Jawaban!V112</f>
        <v>0</v>
      </c>
    </row>
    <row r="113" ht="113.25" customHeight="1" spans="1:22">
      <c r="A113" s="12">
        <v>117</v>
      </c>
      <c r="B113" s="29"/>
      <c r="C113" s="35"/>
      <c r="D113" s="35"/>
      <c r="E113" s="35"/>
      <c r="F113" s="40" t="s">
        <v>78</v>
      </c>
      <c r="G113" s="41" t="s">
        <v>417</v>
      </c>
      <c r="H113" s="42"/>
      <c r="I113" s="51" t="s">
        <v>418</v>
      </c>
      <c r="J113" s="59" t="s">
        <v>64</v>
      </c>
      <c r="K113" s="44" t="str">
        <f>Jawaban!K113</f>
        <v>A</v>
      </c>
      <c r="L113" s="51">
        <f>Jawaban!L113</f>
        <v>0</v>
      </c>
      <c r="M113" s="51" t="s">
        <v>419</v>
      </c>
      <c r="N113" s="46" t="s">
        <v>65</v>
      </c>
      <c r="O113" s="47">
        <f t="shared" si="26"/>
        <v>1</v>
      </c>
      <c r="P113" s="48"/>
      <c r="Q113" s="89"/>
      <c r="R113" s="50" t="str">
        <f>Jawaban!R113</f>
        <v>c. Telah dilakukan evaluasi atas penanganan keluhan/masukan dan konsultasi.</v>
      </c>
      <c r="S113" s="51">
        <f>Jawaban!S113</f>
        <v>0</v>
      </c>
      <c r="T113" s="51">
        <f>Jawaban!T113</f>
        <v>0</v>
      </c>
      <c r="U113" s="51">
        <f>Jawaban!U113</f>
        <v>0</v>
      </c>
      <c r="V113" s="51">
        <f>Jawaban!V113</f>
        <v>0</v>
      </c>
    </row>
    <row r="114" ht="15.75" customHeight="1" spans="1:22">
      <c r="A114" s="12">
        <v>114</v>
      </c>
      <c r="B114" s="30"/>
      <c r="C114" s="35"/>
      <c r="D114" s="35"/>
      <c r="E114" s="35" t="s">
        <v>98</v>
      </c>
      <c r="F114" s="29" t="s">
        <v>421</v>
      </c>
      <c r="G114" s="30"/>
      <c r="H114" s="36">
        <v>1</v>
      </c>
      <c r="I114" s="37"/>
      <c r="J114" s="36"/>
      <c r="K114" s="36">
        <f>Jawaban!K114</f>
        <v>0</v>
      </c>
      <c r="L114" s="54">
        <f>Jawaban!L114</f>
        <v>0</v>
      </c>
      <c r="M114" s="55"/>
      <c r="N114" s="36"/>
      <c r="O114" s="36">
        <f>AVERAGE(O115:O117)*H114</f>
        <v>1</v>
      </c>
      <c r="P114" s="38">
        <f>O114/H114</f>
        <v>1</v>
      </c>
      <c r="Q114" s="78"/>
      <c r="R114" s="51">
        <f>Jawaban!R114</f>
        <v>0</v>
      </c>
      <c r="S114" s="51">
        <f>Jawaban!S114</f>
        <v>0</v>
      </c>
      <c r="T114" s="51">
        <f>Jawaban!T114</f>
        <v>0</v>
      </c>
      <c r="U114" s="51">
        <f>Jawaban!U114</f>
        <v>0</v>
      </c>
      <c r="V114" s="51">
        <f>Jawaban!V114</f>
        <v>0</v>
      </c>
    </row>
    <row r="115" ht="228" customHeight="1" spans="1:22">
      <c r="A115" s="12">
        <v>115</v>
      </c>
      <c r="B115" s="29"/>
      <c r="C115" s="35"/>
      <c r="D115" s="35"/>
      <c r="E115" s="35"/>
      <c r="F115" s="40" t="s">
        <v>54</v>
      </c>
      <c r="G115" s="41" t="s">
        <v>422</v>
      </c>
      <c r="H115" s="42"/>
      <c r="I115" s="51" t="s">
        <v>423</v>
      </c>
      <c r="J115" s="59" t="s">
        <v>124</v>
      </c>
      <c r="K115" s="44" t="str">
        <f>Jawaban!K115</f>
        <v>A</v>
      </c>
      <c r="L115" s="56">
        <f>Jawaban!L115</f>
        <v>0</v>
      </c>
      <c r="M115" s="51" t="s">
        <v>424</v>
      </c>
      <c r="N115" s="46" t="s">
        <v>65</v>
      </c>
      <c r="O115" s="47">
        <f t="shared" ref="O115:O117" si="27">IF(J115="Ya/Tidak",IF(N115="Ya",1,IF(N115="Tidak",0,"Blm Diisi")),IF(J115="A/B/C",IF(N115="A",1,IF(N115="B",0.5,IF(N115="C",0,"Blm Diisi"))),IF(J115="A/B/C/D",IF(N115="A",1,IF(N115="B",0.67,IF(N115="C",0.33,IF(N115="D",0,"Blm Diisi")))),IF(J115="A/B/C/D/E",IF(N115="A",1,IF(N115="B",0.75,IF(N115="C",0.5,IF(N115="D",0.25,IF(N115="E",0,"Blm Diisi"))))),IF(J115="%",IF(N115="","Blm Diisi",N115),IF(J115="Jumlah",IF(N115="","Blm Diisi",""),IF(J115="Rupiah",IF(N115="","Blm Diisi",""),IF(J115="","","-"))))))))</f>
        <v>1</v>
      </c>
      <c r="P115" s="79"/>
      <c r="Q115" s="49"/>
      <c r="R115" s="50" t="str">
        <f>Jawaban!R115</f>
        <v>a. Telah dilakukan survey kepuasan masyarakat terhadap pelayanan.</v>
      </c>
      <c r="S115" s="51">
        <f>Jawaban!S115</f>
        <v>0</v>
      </c>
      <c r="T115" s="51">
        <f>Jawaban!T115</f>
        <v>0</v>
      </c>
      <c r="U115" s="51">
        <f>Jawaban!U115</f>
        <v>0</v>
      </c>
      <c r="V115" s="51">
        <f>Jawaban!V115</f>
        <v>0</v>
      </c>
    </row>
    <row r="116" ht="15.75" customHeight="1" spans="1:22">
      <c r="A116" s="12">
        <v>116</v>
      </c>
      <c r="B116" s="29"/>
      <c r="C116" s="35"/>
      <c r="D116" s="35"/>
      <c r="E116" s="35"/>
      <c r="F116" s="40" t="s">
        <v>61</v>
      </c>
      <c r="G116" s="41" t="s">
        <v>426</v>
      </c>
      <c r="H116" s="42"/>
      <c r="I116" s="51" t="s">
        <v>427</v>
      </c>
      <c r="J116" s="59" t="s">
        <v>64</v>
      </c>
      <c r="K116" s="44" t="str">
        <f>Jawaban!K116</f>
        <v>A</v>
      </c>
      <c r="L116" s="56">
        <f>Jawaban!L116</f>
        <v>0</v>
      </c>
      <c r="M116" s="51" t="s">
        <v>428</v>
      </c>
      <c r="N116" s="46" t="s">
        <v>65</v>
      </c>
      <c r="O116" s="47">
        <f t="shared" si="27"/>
        <v>1</v>
      </c>
      <c r="P116" s="79"/>
      <c r="Q116" s="57"/>
      <c r="R116" s="50" t="str">
        <f>Jawaban!R116</f>
        <v>b. Hasil survei kepuasan masyarakat dapat diakses secara terbuka.</v>
      </c>
      <c r="S116" s="51">
        <f>Jawaban!S116</f>
        <v>0</v>
      </c>
      <c r="T116" s="51">
        <f>Jawaban!T116</f>
        <v>0</v>
      </c>
      <c r="U116" s="51">
        <f>Jawaban!U116</f>
        <v>0</v>
      </c>
      <c r="V116" s="51">
        <f>Jawaban!V116</f>
        <v>0</v>
      </c>
    </row>
    <row r="117" ht="15.75" customHeight="1" spans="1:22">
      <c r="A117" s="12">
        <v>117</v>
      </c>
      <c r="B117" s="29"/>
      <c r="C117" s="35"/>
      <c r="D117" s="35"/>
      <c r="E117" s="35"/>
      <c r="F117" s="40" t="s">
        <v>78</v>
      </c>
      <c r="G117" s="41" t="s">
        <v>430</v>
      </c>
      <c r="H117" s="42"/>
      <c r="I117" s="51" t="s">
        <v>431</v>
      </c>
      <c r="J117" s="59" t="s">
        <v>87</v>
      </c>
      <c r="K117" s="44" t="str">
        <f>Jawaban!K117</f>
        <v>A</v>
      </c>
      <c r="L117" s="56">
        <f>Jawaban!L117</f>
        <v>0</v>
      </c>
      <c r="M117" s="51" t="s">
        <v>432</v>
      </c>
      <c r="N117" s="46" t="s">
        <v>65</v>
      </c>
      <c r="O117" s="47">
        <f t="shared" si="27"/>
        <v>1</v>
      </c>
      <c r="P117" s="79"/>
      <c r="Q117" s="57"/>
      <c r="R117" s="50" t="str">
        <f>Jawaban!R117</f>
        <v>c. Dilakukan tindak lanjut atas hasil survei kepuasan masyarakat.</v>
      </c>
      <c r="S117" s="51">
        <f>Jawaban!S117</f>
        <v>0</v>
      </c>
      <c r="T117" s="51">
        <f>Jawaban!T117</f>
        <v>0</v>
      </c>
      <c r="U117" s="51">
        <f>Jawaban!U117</f>
        <v>0</v>
      </c>
      <c r="V117" s="51">
        <f>Jawaban!V117</f>
        <v>0</v>
      </c>
    </row>
    <row r="118" ht="15.75" customHeight="1" spans="1:22">
      <c r="B118" s="29"/>
      <c r="C118" s="35"/>
      <c r="D118" s="35"/>
      <c r="E118" s="35" t="s">
        <v>229</v>
      </c>
      <c r="F118" s="29" t="s">
        <v>434</v>
      </c>
      <c r="G118" s="30"/>
      <c r="H118" s="36">
        <v>1</v>
      </c>
      <c r="I118" s="37"/>
      <c r="J118" s="36"/>
      <c r="K118" s="44">
        <f>Jawaban!K118</f>
        <v>0</v>
      </c>
      <c r="L118" s="54">
        <f>Jawaban!L118</f>
        <v>0</v>
      </c>
      <c r="M118" s="93"/>
      <c r="N118" s="44"/>
      <c r="O118" s="36">
        <f>AVERAGE(O119:O121)*H118</f>
        <v>1</v>
      </c>
      <c r="P118" s="48">
        <f>O118/H118</f>
        <v>1</v>
      </c>
      <c r="Q118" s="94"/>
      <c r="R118" s="51">
        <f>Jawaban!R118</f>
        <v>0</v>
      </c>
      <c r="S118" s="51">
        <f>Jawaban!S118</f>
        <v>0</v>
      </c>
      <c r="T118" s="51">
        <f>Jawaban!T118</f>
        <v>0</v>
      </c>
      <c r="U118" s="51">
        <f>Jawaban!U118</f>
        <v>0</v>
      </c>
      <c r="V118" s="51">
        <f>Jawaban!V118</f>
        <v>0</v>
      </c>
    </row>
    <row r="119" ht="199.5" customHeight="1" spans="1:22">
      <c r="B119" s="29"/>
      <c r="C119" s="35"/>
      <c r="D119" s="35"/>
      <c r="E119" s="35"/>
      <c r="F119" s="40" t="s">
        <v>54</v>
      </c>
      <c r="G119" s="41" t="s">
        <v>435</v>
      </c>
      <c r="H119" s="42"/>
      <c r="I119" s="51" t="s">
        <v>436</v>
      </c>
      <c r="J119" s="59" t="s">
        <v>87</v>
      </c>
      <c r="K119" s="44" t="str">
        <f>Jawaban!K119</f>
        <v>A</v>
      </c>
      <c r="L119" s="51">
        <f>Jawaban!L119</f>
        <v>0</v>
      </c>
      <c r="M119" s="51" t="s">
        <v>437</v>
      </c>
      <c r="N119" s="46" t="s">
        <v>65</v>
      </c>
      <c r="O119" s="47">
        <f t="shared" ref="O119:O121" si="28">IF(J119="Ya/Tidak",IF(N119="Ya",1,IF(N119="Tidak",0,"Blm Diisi")),IF(J119="A/B/C",IF(N119="A",1,IF(N119="B",0.5,IF(N119="C",0,"Blm Diisi"))),IF(J119="A/B/C/D",IF(N119="A",1,IF(N119="B",0.67,IF(N119="C",0.33,IF(N119="D",0,"Blm Diisi")))),IF(J119="A/B/C/D/E",IF(N119="A",1,IF(N119="B",0.75,IF(N119="C",0.5,IF(N119="D",0.25,IF(N119="E",0,"Blm Diisi"))))),IF(J119="%",IF(N119="","Blm Diisi",N119),IF(J119="Jumlah",IF(N119="","Blm Diisi",""),IF(J119="Rupiah",IF(N119="","Blm Diisi",""),IF(J119="","","-"))))))))</f>
        <v>1</v>
      </c>
      <c r="P119" s="48"/>
      <c r="Q119" s="82"/>
      <c r="R119" s="50" t="str">
        <f>Jawaban!R119</f>
        <v>a. Telah menerapkan teknologi informasi dalam memberikan pelayanan.</v>
      </c>
      <c r="S119" s="51">
        <f>Jawaban!S119</f>
        <v>0</v>
      </c>
      <c r="T119" s="51">
        <f>Jawaban!T119</f>
        <v>0</v>
      </c>
      <c r="U119" s="51">
        <f>Jawaban!U119</f>
        <v>0</v>
      </c>
      <c r="V119" s="51">
        <f>Jawaban!V119</f>
        <v>0</v>
      </c>
    </row>
    <row r="120" ht="70.5" customHeight="1" spans="1:22">
      <c r="B120" s="29"/>
      <c r="C120" s="35"/>
      <c r="D120" s="35"/>
      <c r="E120" s="35"/>
      <c r="F120" s="40" t="s">
        <v>597</v>
      </c>
      <c r="G120" s="41" t="s">
        <v>440</v>
      </c>
      <c r="H120" s="42"/>
      <c r="I120" s="51" t="s">
        <v>441</v>
      </c>
      <c r="J120" s="59" t="s">
        <v>57</v>
      </c>
      <c r="K120" s="44" t="str">
        <f>Jawaban!K120</f>
        <v>Ya</v>
      </c>
      <c r="L120" s="51">
        <f>Jawaban!L120</f>
        <v>0</v>
      </c>
      <c r="M120" s="51" t="s">
        <v>442</v>
      </c>
      <c r="N120" s="46" t="s">
        <v>58</v>
      </c>
      <c r="O120" s="47">
        <f t="shared" si="28"/>
        <v>1</v>
      </c>
      <c r="P120" s="79"/>
      <c r="Q120" s="49"/>
      <c r="R120" s="50" t="str">
        <f>Jawaban!R120</f>
        <v>b. Telah membangun database pelayanan yang terintegrasi.</v>
      </c>
      <c r="S120" s="51">
        <f>Jawaban!S120</f>
        <v>0</v>
      </c>
      <c r="T120" s="51">
        <f>Jawaban!T120</f>
        <v>0</v>
      </c>
      <c r="U120" s="51">
        <f>Jawaban!U120</f>
        <v>0</v>
      </c>
      <c r="V120" s="51">
        <f>Jawaban!V120</f>
        <v>0</v>
      </c>
    </row>
    <row r="121" ht="15.75" customHeight="1" spans="1:22">
      <c r="B121" s="29"/>
      <c r="C121" s="35"/>
      <c r="D121" s="35"/>
      <c r="E121" s="35"/>
      <c r="F121" s="40" t="s">
        <v>61</v>
      </c>
      <c r="G121" s="41" t="s">
        <v>444</v>
      </c>
      <c r="H121" s="42"/>
      <c r="I121" s="51" t="s">
        <v>445</v>
      </c>
      <c r="J121" s="59" t="s">
        <v>64</v>
      </c>
      <c r="K121" s="44" t="str">
        <f>Jawaban!K121</f>
        <v>A</v>
      </c>
      <c r="L121" s="51">
        <f>Jawaban!L121</f>
        <v>0</v>
      </c>
      <c r="M121" s="51" t="s">
        <v>446</v>
      </c>
      <c r="N121" s="46" t="s">
        <v>65</v>
      </c>
      <c r="O121" s="47">
        <f t="shared" si="28"/>
        <v>1</v>
      </c>
      <c r="P121" s="79"/>
      <c r="Q121" s="49"/>
      <c r="R121" s="50" t="str">
        <f>Jawaban!R121</f>
        <v>c. Telah dilakukan perbaikan secara terus menerus.</v>
      </c>
      <c r="S121" s="51">
        <f>Jawaban!S121</f>
        <v>0</v>
      </c>
      <c r="T121" s="51">
        <f>Jawaban!T121</f>
        <v>0</v>
      </c>
      <c r="U121" s="51">
        <f>Jawaban!U121</f>
        <v>0</v>
      </c>
      <c r="V121" s="51">
        <f>Jawaban!V121</f>
        <v>0</v>
      </c>
    </row>
    <row r="122" ht="15.75" customHeight="1" spans="1:22">
      <c r="A122" s="12">
        <v>118</v>
      </c>
      <c r="B122" s="20"/>
      <c r="C122" s="21" t="s">
        <v>32</v>
      </c>
      <c r="D122" s="14" t="s">
        <v>448</v>
      </c>
      <c r="E122" s="14"/>
      <c r="F122" s="14"/>
      <c r="G122" s="15"/>
      <c r="H122" s="22">
        <v>30</v>
      </c>
      <c r="I122" s="23"/>
      <c r="J122" s="22"/>
      <c r="K122" s="22">
        <f>Jawaban!K122</f>
        <v>0</v>
      </c>
      <c r="L122" s="54">
        <f>Jawaban!L122</f>
        <v>0</v>
      </c>
      <c r="M122" s="55"/>
      <c r="N122" s="22"/>
      <c r="O122" s="22">
        <f>SUM(O123,O135,O145,O155,O164,O187)</f>
        <v>30</v>
      </c>
      <c r="P122" s="24">
        <f t="shared" ref="P122:P124" si="29">O122/H122</f>
        <v>1</v>
      </c>
      <c r="Q122" s="95"/>
      <c r="R122" s="51">
        <f>Jawaban!R122</f>
        <v>0</v>
      </c>
      <c r="S122" s="51">
        <f>Jawaban!S122</f>
        <v>0</v>
      </c>
      <c r="T122" s="51">
        <f>Jawaban!T122</f>
        <v>0</v>
      </c>
      <c r="U122" s="51">
        <f>Jawaban!U122</f>
        <v>0</v>
      </c>
      <c r="V122" s="51">
        <f>Jawaban!V122</f>
        <v>0</v>
      </c>
    </row>
    <row r="123" ht="15.75" customHeight="1" spans="1:22">
      <c r="A123" s="12">
        <v>5</v>
      </c>
      <c r="B123" s="26"/>
      <c r="C123" s="27"/>
      <c r="D123" s="28" t="s">
        <v>11</v>
      </c>
      <c r="E123" s="29" t="s">
        <v>12</v>
      </c>
      <c r="F123" s="29"/>
      <c r="G123" s="30"/>
      <c r="H123" s="31">
        <v>4</v>
      </c>
      <c r="I123" s="32"/>
      <c r="J123" s="31"/>
      <c r="K123" s="31">
        <f>Jawaban!K123</f>
        <v>0</v>
      </c>
      <c r="L123" s="54">
        <f>Jawaban!L123</f>
        <v>0</v>
      </c>
      <c r="M123" s="55"/>
      <c r="N123" s="31"/>
      <c r="O123" s="31">
        <f>SUM(O124,O131,O133)</f>
        <v>4</v>
      </c>
      <c r="P123" s="33">
        <f t="shared" si="29"/>
        <v>1</v>
      </c>
      <c r="Q123" s="96"/>
      <c r="R123" s="51">
        <f>Jawaban!R123</f>
        <v>0</v>
      </c>
      <c r="S123" s="51">
        <f>Jawaban!S123</f>
        <v>0</v>
      </c>
      <c r="T123" s="51">
        <f>Jawaban!T123</f>
        <v>0</v>
      </c>
      <c r="U123" s="51">
        <f>Jawaban!U123</f>
        <v>0</v>
      </c>
      <c r="V123" s="51">
        <f>Jawaban!V123</f>
        <v>0</v>
      </c>
    </row>
    <row r="124" ht="15.75" customHeight="1" spans="1:22">
      <c r="A124" s="12">
        <v>120</v>
      </c>
      <c r="B124" s="30"/>
      <c r="C124" s="35"/>
      <c r="D124" s="35"/>
      <c r="E124" s="35" t="s">
        <v>52</v>
      </c>
      <c r="F124" s="29" t="s">
        <v>449</v>
      </c>
      <c r="G124" s="30"/>
      <c r="H124" s="36">
        <v>2</v>
      </c>
      <c r="I124" s="37"/>
      <c r="J124" s="36"/>
      <c r="K124" s="36">
        <f>Jawaban!K124</f>
        <v>0</v>
      </c>
      <c r="L124" s="54">
        <f>Jawaban!L124</f>
        <v>0</v>
      </c>
      <c r="M124" s="55"/>
      <c r="N124" s="36"/>
      <c r="O124" s="36">
        <f>AVERAGE(O125:O130)*H124</f>
        <v>2</v>
      </c>
      <c r="P124" s="38">
        <f t="shared" si="29"/>
        <v>1</v>
      </c>
      <c r="Q124" s="81"/>
      <c r="R124" s="51">
        <f>Jawaban!R124</f>
        <v>0</v>
      </c>
      <c r="S124" s="51">
        <f>Jawaban!S124</f>
        <v>0</v>
      </c>
      <c r="T124" s="51">
        <f>Jawaban!T124</f>
        <v>0</v>
      </c>
      <c r="U124" s="51">
        <f>Jawaban!U124</f>
        <v>0</v>
      </c>
      <c r="V124" s="51">
        <f>Jawaban!V124</f>
        <v>0</v>
      </c>
    </row>
    <row r="125" ht="272.25" customHeight="1" spans="1:22">
      <c r="A125" s="12">
        <v>121</v>
      </c>
      <c r="B125" s="29"/>
      <c r="C125" s="35"/>
      <c r="D125" s="35"/>
      <c r="E125" s="35"/>
      <c r="F125" s="40" t="s">
        <v>54</v>
      </c>
      <c r="G125" s="41" t="s">
        <v>450</v>
      </c>
      <c r="H125" s="42"/>
      <c r="I125" s="41" t="s">
        <v>451</v>
      </c>
      <c r="J125" s="59" t="s">
        <v>452</v>
      </c>
      <c r="K125" s="97">
        <f>Jawaban!K125</f>
        <v>1</v>
      </c>
      <c r="L125" s="51">
        <f>Jawaban!L125</f>
        <v>0</v>
      </c>
      <c r="M125" s="41" t="s">
        <v>598</v>
      </c>
      <c r="N125" s="97">
        <f>N127/N126</f>
        <v>1</v>
      </c>
      <c r="O125" s="47">
        <f t="shared" ref="O125:O130" si="30">IF(J125="Ya/Tidak",IF(N125="Ya",1,IF(N125="Tidak",0,"Blm Diisi")),IF(J125="A/B/C",IF(N125="A",1,IF(N125="B",0.5,IF(N125="C",0,"Blm Diisi"))),IF(J125="A/B/C/D",IF(N125="A",1,IF(N125="B",0.67,IF(N125="C",0.33,IF(N125="D",0,"Blm Diisi")))),IF(J125="A/B/C/D/E",IF(N125="A",1,IF(N125="B",0.75,IF(N125="C",0.5,IF(N125="D",0.25,IF(N125="E",0,"Blm Diisi"))))),IF(J125="%",IF(N125="","Blm Diisi",N125),IF(J125="Jumlah",IF(N125="","Blm Diisi",""),IF(J125="Rupiah",IF(N125="","Blm Diisi",""),IF(J125="","","-"))))))))</f>
        <v>1</v>
      </c>
      <c r="P125" s="48"/>
      <c r="Q125" s="98"/>
      <c r="R125" s="50" t="str">
        <f>Jawaban!R125</f>
        <v>a. Agen perubahan telah membuat perubahan yang konkret di Instansi (dalam 1 tahun).</v>
      </c>
      <c r="S125" s="51">
        <f>Jawaban!S125</f>
        <v>0</v>
      </c>
      <c r="T125" s="51">
        <f>Jawaban!T125</f>
        <v>0</v>
      </c>
      <c r="U125" s="51">
        <f>Jawaban!U125</f>
        <v>0</v>
      </c>
      <c r="V125" s="51">
        <f>Jawaban!V125</f>
        <v>0</v>
      </c>
    </row>
    <row r="126" ht="15.75" customHeight="1" spans="1:22">
      <c r="A126" s="12">
        <v>122</v>
      </c>
      <c r="B126" s="29"/>
      <c r="C126" s="35"/>
      <c r="D126" s="35"/>
      <c r="E126" s="35"/>
      <c r="F126" s="40"/>
      <c r="G126" s="322" t="s">
        <v>455</v>
      </c>
      <c r="H126" s="42"/>
      <c r="I126" s="41"/>
      <c r="J126" s="59" t="s">
        <v>456</v>
      </c>
      <c r="K126" s="59">
        <f>Jawaban!K126</f>
        <v>1</v>
      </c>
      <c r="L126" s="54">
        <f>Jawaban!L126</f>
        <v>0</v>
      </c>
      <c r="M126" s="93"/>
      <c r="N126" s="99">
        <v>1</v>
      </c>
      <c r="O126" s="47" t="str">
        <f t="shared" si="30"/>
        <v/>
      </c>
      <c r="P126" s="48"/>
      <c r="Q126" s="90"/>
      <c r="R126" s="51">
        <f>Jawaban!R126</f>
        <v>0</v>
      </c>
      <c r="S126" s="51">
        <f>Jawaban!S126</f>
        <v>0</v>
      </c>
      <c r="T126" s="51">
        <f>Jawaban!T126</f>
        <v>0</v>
      </c>
      <c r="U126" s="51">
        <f>Jawaban!U126</f>
        <v>0</v>
      </c>
      <c r="V126" s="51">
        <f>Jawaban!V126</f>
        <v>0</v>
      </c>
    </row>
    <row r="127" ht="15.75" customHeight="1" spans="1:22">
      <c r="A127" s="12">
        <v>123</v>
      </c>
      <c r="B127" s="29"/>
      <c r="C127" s="35"/>
      <c r="D127" s="35"/>
      <c r="E127" s="35"/>
      <c r="F127" s="40"/>
      <c r="G127" s="322" t="s">
        <v>457</v>
      </c>
      <c r="H127" s="42"/>
      <c r="I127" s="41"/>
      <c r="J127" s="59" t="s">
        <v>456</v>
      </c>
      <c r="K127" s="59">
        <f>Jawaban!K127</f>
        <v>1</v>
      </c>
      <c r="L127" s="54">
        <f>Jawaban!L127</f>
        <v>0</v>
      </c>
      <c r="M127" s="93"/>
      <c r="N127" s="99">
        <v>1</v>
      </c>
      <c r="O127" s="47" t="str">
        <f t="shared" si="30"/>
        <v/>
      </c>
      <c r="P127" s="48"/>
      <c r="Q127" s="90"/>
      <c r="R127" s="51">
        <f>Jawaban!R127</f>
        <v>0</v>
      </c>
      <c r="S127" s="51">
        <f>Jawaban!S127</f>
        <v>0</v>
      </c>
      <c r="T127" s="51">
        <f>Jawaban!T127</f>
        <v>0</v>
      </c>
      <c r="U127" s="51">
        <f>Jawaban!U127</f>
        <v>0</v>
      </c>
      <c r="V127" s="51">
        <f>Jawaban!V127</f>
        <v>0</v>
      </c>
    </row>
    <row r="128" ht="304.5" customHeight="1" spans="1:22">
      <c r="A128" s="12">
        <v>125</v>
      </c>
      <c r="B128" s="29"/>
      <c r="C128" s="35"/>
      <c r="D128" s="35"/>
      <c r="E128" s="35"/>
      <c r="F128" s="40" t="s">
        <v>61</v>
      </c>
      <c r="G128" s="41" t="s">
        <v>458</v>
      </c>
      <c r="H128" s="42"/>
      <c r="I128" s="41"/>
      <c r="J128" s="59" t="s">
        <v>452</v>
      </c>
      <c r="K128" s="97">
        <f>Jawaban!K128</f>
        <v>1</v>
      </c>
      <c r="L128" s="51">
        <f>Jawaban!L128</f>
        <v>0</v>
      </c>
      <c r="M128" s="41" t="s">
        <v>459</v>
      </c>
      <c r="N128" s="97">
        <f>N130/N129</f>
        <v>1</v>
      </c>
      <c r="O128" s="47">
        <f t="shared" si="30"/>
        <v>1</v>
      </c>
      <c r="P128" s="48"/>
      <c r="Q128" s="98"/>
      <c r="R128" s="50" t="str">
        <f>Jawaban!R128</f>
        <v>b. Perubahan yang dibuat Agen Perubahan telah terintegrasi dalam sistem manajemen.</v>
      </c>
      <c r="S128" s="51">
        <f>Jawaban!S128</f>
        <v>0</v>
      </c>
      <c r="T128" s="51">
        <f>Jawaban!T128</f>
        <v>0</v>
      </c>
      <c r="U128" s="51">
        <f>Jawaban!U128</f>
        <v>0</v>
      </c>
      <c r="V128" s="51">
        <f>Jawaban!V128</f>
        <v>0</v>
      </c>
    </row>
    <row r="129" ht="15.75" customHeight="1" spans="1:22">
      <c r="A129" s="12">
        <v>126</v>
      </c>
      <c r="B129" s="29"/>
      <c r="C129" s="35"/>
      <c r="D129" s="35"/>
      <c r="E129" s="35"/>
      <c r="F129" s="40"/>
      <c r="G129" s="41" t="s">
        <v>457</v>
      </c>
      <c r="H129" s="42"/>
      <c r="I129" s="51"/>
      <c r="J129" s="59" t="s">
        <v>456</v>
      </c>
      <c r="K129" s="59">
        <f>Jawaban!K129</f>
        <v>1</v>
      </c>
      <c r="L129" s="54">
        <f>Jawaban!L129</f>
        <v>0</v>
      </c>
      <c r="M129" s="58"/>
      <c r="N129" s="99">
        <v>1</v>
      </c>
      <c r="O129" s="47" t="str">
        <f t="shared" si="30"/>
        <v/>
      </c>
      <c r="P129" s="48"/>
      <c r="Q129" s="90"/>
      <c r="R129" s="51">
        <f>Jawaban!R129</f>
        <v>0</v>
      </c>
      <c r="S129" s="51">
        <f>Jawaban!S129</f>
        <v>0</v>
      </c>
      <c r="T129" s="51">
        <f>Jawaban!T129</f>
        <v>0</v>
      </c>
      <c r="U129" s="51">
        <f>Jawaban!U129</f>
        <v>0</v>
      </c>
      <c r="V129" s="51">
        <f>Jawaban!V129</f>
        <v>0</v>
      </c>
    </row>
    <row r="130" ht="15.75" customHeight="1" spans="1:22">
      <c r="A130" s="12">
        <v>127</v>
      </c>
      <c r="B130" s="29"/>
      <c r="C130" s="35"/>
      <c r="D130" s="35"/>
      <c r="E130" s="35"/>
      <c r="F130" s="40"/>
      <c r="G130" s="41" t="s">
        <v>461</v>
      </c>
      <c r="H130" s="42"/>
      <c r="I130" s="51"/>
      <c r="J130" s="59" t="s">
        <v>456</v>
      </c>
      <c r="K130" s="59">
        <f>Jawaban!K130</f>
        <v>1</v>
      </c>
      <c r="L130" s="51">
        <f>Jawaban!L130</f>
        <v>0</v>
      </c>
      <c r="M130" s="58"/>
      <c r="N130" s="99">
        <v>1</v>
      </c>
      <c r="O130" s="47" t="str">
        <f t="shared" si="30"/>
        <v/>
      </c>
      <c r="P130" s="48"/>
      <c r="Q130" s="90"/>
      <c r="R130" s="51">
        <f>Jawaban!R130</f>
        <v>0</v>
      </c>
      <c r="S130" s="51">
        <f>Jawaban!S130</f>
        <v>0</v>
      </c>
      <c r="T130" s="51">
        <f>Jawaban!T130</f>
        <v>0</v>
      </c>
      <c r="U130" s="51">
        <f>Jawaban!U130</f>
        <v>0</v>
      </c>
      <c r="V130" s="51">
        <f>Jawaban!V130</f>
        <v>0</v>
      </c>
    </row>
    <row r="131" ht="15.75" customHeight="1" spans="1:22">
      <c r="A131" s="12">
        <v>128</v>
      </c>
      <c r="B131" s="30"/>
      <c r="C131" s="35"/>
      <c r="D131" s="35"/>
      <c r="E131" s="35" t="s">
        <v>68</v>
      </c>
      <c r="F131" s="29" t="s">
        <v>462</v>
      </c>
      <c r="G131" s="30" t="s">
        <v>462</v>
      </c>
      <c r="H131" s="36">
        <v>1</v>
      </c>
      <c r="I131" s="37"/>
      <c r="J131" s="36"/>
      <c r="K131" s="36">
        <f>Jawaban!K131</f>
        <v>0</v>
      </c>
      <c r="L131" s="54">
        <f>Jawaban!L131</f>
        <v>0</v>
      </c>
      <c r="M131" s="55"/>
      <c r="N131" s="36"/>
      <c r="O131" s="36">
        <f>AVERAGE(O132)*H131</f>
        <v>1</v>
      </c>
      <c r="P131" s="38">
        <f>O131/H131</f>
        <v>1</v>
      </c>
      <c r="Q131" s="81"/>
      <c r="R131" s="51">
        <f>Jawaban!R131</f>
        <v>0</v>
      </c>
      <c r="S131" s="51">
        <f>Jawaban!S131</f>
        <v>0</v>
      </c>
      <c r="T131" s="51">
        <f>Jawaban!T131</f>
        <v>0</v>
      </c>
      <c r="U131" s="51">
        <f>Jawaban!U131</f>
        <v>0</v>
      </c>
      <c r="V131" s="51">
        <f>Jawaban!V131</f>
        <v>0</v>
      </c>
    </row>
    <row r="132" ht="15.75" customHeight="1" spans="1:22">
      <c r="A132" s="12">
        <v>129</v>
      </c>
      <c r="B132" s="29"/>
      <c r="C132" s="35"/>
      <c r="D132" s="35"/>
      <c r="E132" s="35"/>
      <c r="F132" s="321" t="s">
        <v>34</v>
      </c>
      <c r="G132" s="41" t="s">
        <v>463</v>
      </c>
      <c r="H132" s="36">
        <v>1</v>
      </c>
      <c r="I132" s="51" t="s">
        <v>464</v>
      </c>
      <c r="J132" s="59" t="s">
        <v>124</v>
      </c>
      <c r="K132" s="44" t="str">
        <f>Jawaban!K132</f>
        <v>A</v>
      </c>
      <c r="L132" s="51">
        <f>Jawaban!L132</f>
        <v>0</v>
      </c>
      <c r="M132" s="51" t="s">
        <v>465</v>
      </c>
      <c r="N132" s="46" t="s">
        <v>65</v>
      </c>
      <c r="O132" s="47">
        <f>IF(J132="Ya/Tidak",IF(N132="Ya",1,IF(N132="Tidak",0,"Blm Diisi")),IF(J132="A/B/C",IF(N132="A",1,IF(N132="B",0.5,IF(N132="C",0,"Blm Diisi"))),IF(J132="A/B/C/D",IF(N132="A",1,IF(N132="B",0.67,IF(N132="C",0.33,IF(N132="D",0,"Blm Diisi")))),IF(J132="A/B/C/D/E",IF(N132="A",1,IF(N132="B",0.75,IF(N132="C",0.5,IF(N132="D",0.25,IF(N132="E",0,"Blm Diisi"))))),IF(J132="%",IF(N132="","Blm Diisi",N132),IF(J132="Jumlah",IF(N132="","Blm Diisi",""),IF(J132="Rupiah",IF(N132="","Blm Diisi",""),IF(J132="","","-"))))))))</f>
        <v>1</v>
      </c>
      <c r="P132" s="48"/>
      <c r="Q132" s="90"/>
      <c r="R132" s="50" t="str">
        <f>Jawaban!R132</f>
        <v>Pimpinan memiliki komitmen terhadap pelaksanaan reformasi birokrasi, dengan adanya target capaian reformasi yang jelas di dokumen perencanaan.</v>
      </c>
      <c r="S132" s="51">
        <f>Jawaban!S132</f>
        <v>0</v>
      </c>
      <c r="T132" s="51">
        <f>Jawaban!T132</f>
        <v>0</v>
      </c>
      <c r="U132" s="51">
        <f>Jawaban!U132</f>
        <v>0</v>
      </c>
      <c r="V132" s="51">
        <f>Jawaban!V132</f>
        <v>0</v>
      </c>
    </row>
    <row r="133" ht="15.75" customHeight="1" spans="1:22">
      <c r="A133" s="12">
        <v>130</v>
      </c>
      <c r="B133" s="30"/>
      <c r="C133" s="35"/>
      <c r="D133" s="35"/>
      <c r="E133" s="35" t="s">
        <v>83</v>
      </c>
      <c r="F133" s="29" t="s">
        <v>466</v>
      </c>
      <c r="G133" s="30" t="s">
        <v>466</v>
      </c>
      <c r="H133" s="36">
        <v>1</v>
      </c>
      <c r="I133" s="37"/>
      <c r="J133" s="36"/>
      <c r="K133" s="36">
        <f>Jawaban!K133</f>
        <v>0</v>
      </c>
      <c r="L133" s="54">
        <f>Jawaban!L133</f>
        <v>0</v>
      </c>
      <c r="M133" s="100"/>
      <c r="N133" s="36"/>
      <c r="O133" s="36">
        <f>AVERAGE(O134)*H133</f>
        <v>1</v>
      </c>
      <c r="P133" s="38">
        <f>O133/H133</f>
        <v>1</v>
      </c>
      <c r="Q133" s="81"/>
      <c r="R133" s="51">
        <f>Jawaban!R133</f>
        <v>0</v>
      </c>
      <c r="S133" s="51">
        <f>Jawaban!S133</f>
        <v>0</v>
      </c>
      <c r="T133" s="51">
        <f>Jawaban!T133</f>
        <v>0</v>
      </c>
      <c r="U133" s="51">
        <f>Jawaban!U133</f>
        <v>0</v>
      </c>
      <c r="V133" s="51">
        <f>Jawaban!V133</f>
        <v>0</v>
      </c>
    </row>
    <row r="134" ht="228" customHeight="1" spans="1:22">
      <c r="A134" s="12">
        <v>131</v>
      </c>
      <c r="B134" s="29"/>
      <c r="C134" s="35"/>
      <c r="D134" s="35"/>
      <c r="E134" s="35"/>
      <c r="F134" s="321" t="s">
        <v>34</v>
      </c>
      <c r="G134" s="41" t="s">
        <v>467</v>
      </c>
      <c r="H134" s="42"/>
      <c r="I134" s="51" t="s">
        <v>468</v>
      </c>
      <c r="J134" s="59" t="s">
        <v>87</v>
      </c>
      <c r="K134" s="44" t="str">
        <f>Jawaban!K134</f>
        <v>A</v>
      </c>
      <c r="L134" s="51">
        <f>Jawaban!L134</f>
        <v>0</v>
      </c>
      <c r="M134" s="51" t="s">
        <v>469</v>
      </c>
      <c r="N134" s="46" t="s">
        <v>65</v>
      </c>
      <c r="O134" s="47">
        <f>IF(J134="Ya/Tidak",IF(N134="Ya",1,IF(N134="Tidak",0,"Blm Diisi")),IF(J134="A/B/C",IF(N134="A",1,IF(N134="B",0.5,IF(N134="C",0,"Blm Diisi"))),IF(J134="A/B/C/D",IF(N134="A",1,IF(N134="B",0.67,IF(N134="C",0.33,IF(N134="D",0,"Blm Diisi")))),IF(J134="A/B/C/D/E",IF(N134="A",1,IF(N134="B",0.75,IF(N134="C",0.5,IF(N134="D",0.25,IF(N134="E",0,"Blm Diisi"))))),IF(J134="%",IF(N134="","Blm Diisi",N134),IF(J134="Jumlah",IF(N134="","Blm Diisi",""),IF(J134="Rupiah",IF(N134="","Blm Diisi",""),IF(J134="","","-"))))))))</f>
        <v>1</v>
      </c>
      <c r="P134" s="48"/>
      <c r="Q134" s="90"/>
      <c r="R134" s="50" t="str">
        <f>Jawaban!R134</f>
        <v>Instansi membangun budaya kerja positif dan menerapkan nilai-nilai organisasi dalam pelaksanaan tugas sehari-hari.</v>
      </c>
      <c r="S134" s="51">
        <f>Jawaban!S134</f>
        <v>0</v>
      </c>
      <c r="T134" s="51">
        <f>Jawaban!T134</f>
        <v>0</v>
      </c>
      <c r="U134" s="51">
        <f>Jawaban!U134</f>
        <v>0</v>
      </c>
      <c r="V134" s="51">
        <f>Jawaban!V134</f>
        <v>0</v>
      </c>
    </row>
    <row r="135" ht="15.75" customHeight="1" spans="1:22">
      <c r="A135" s="12">
        <v>134</v>
      </c>
      <c r="B135" s="26"/>
      <c r="C135" s="27"/>
      <c r="D135" s="28" t="s">
        <v>13</v>
      </c>
      <c r="E135" s="29" t="s">
        <v>14</v>
      </c>
      <c r="F135" s="29"/>
      <c r="G135" s="30"/>
      <c r="H135" s="31">
        <v>3.5</v>
      </c>
      <c r="I135" s="32"/>
      <c r="J135" s="31"/>
      <c r="K135" s="31">
        <f>Jawaban!K135</f>
        <v>0</v>
      </c>
      <c r="L135" s="54">
        <f>Jawaban!L135</f>
        <v>0</v>
      </c>
      <c r="M135" s="55"/>
      <c r="N135" s="31"/>
      <c r="O135" s="31">
        <f>SUM(O136,O138,O141)</f>
        <v>3.5</v>
      </c>
      <c r="P135" s="33">
        <f t="shared" ref="P135:P136" si="31">O135/H135</f>
        <v>1</v>
      </c>
      <c r="Q135" s="96"/>
      <c r="R135" s="51">
        <f>Jawaban!R135</f>
        <v>0</v>
      </c>
      <c r="S135" s="51">
        <f>Jawaban!S135</f>
        <v>0</v>
      </c>
      <c r="T135" s="51">
        <f>Jawaban!T135</f>
        <v>0</v>
      </c>
      <c r="U135" s="51">
        <f>Jawaban!U135</f>
        <v>0</v>
      </c>
      <c r="V135" s="51">
        <f>Jawaban!V135</f>
        <v>0</v>
      </c>
    </row>
    <row r="136" ht="15.75" customHeight="1" spans="1:22">
      <c r="A136" s="12">
        <v>135</v>
      </c>
      <c r="B136" s="30"/>
      <c r="C136" s="35"/>
      <c r="D136" s="35"/>
      <c r="E136" s="35" t="s">
        <v>52</v>
      </c>
      <c r="F136" s="29" t="s">
        <v>470</v>
      </c>
      <c r="G136" s="30"/>
      <c r="H136" s="36">
        <v>0.5</v>
      </c>
      <c r="I136" s="37"/>
      <c r="J136" s="36"/>
      <c r="K136" s="36">
        <f>Jawaban!K136</f>
        <v>0</v>
      </c>
      <c r="L136" s="54">
        <f>Jawaban!L136</f>
        <v>0</v>
      </c>
      <c r="M136" s="55"/>
      <c r="N136" s="36"/>
      <c r="O136" s="36">
        <f>AVERAGE(O137)*H136</f>
        <v>0.5</v>
      </c>
      <c r="P136" s="38">
        <f t="shared" si="31"/>
        <v>1</v>
      </c>
      <c r="Q136" s="81"/>
      <c r="R136" s="51">
        <f>Jawaban!R136</f>
        <v>0</v>
      </c>
      <c r="S136" s="51">
        <f>Jawaban!S136</f>
        <v>0</v>
      </c>
      <c r="T136" s="51">
        <f>Jawaban!T136</f>
        <v>0</v>
      </c>
      <c r="U136" s="51">
        <f>Jawaban!U136</f>
        <v>0</v>
      </c>
      <c r="V136" s="51">
        <f>Jawaban!V136</f>
        <v>0</v>
      </c>
    </row>
    <row r="137" ht="266.25" customHeight="1" spans="1:22">
      <c r="A137" s="12">
        <v>136</v>
      </c>
      <c r="B137" s="29"/>
      <c r="C137" s="35"/>
      <c r="D137" s="35"/>
      <c r="E137" s="35"/>
      <c r="F137" s="321" t="s">
        <v>34</v>
      </c>
      <c r="G137" s="41" t="s">
        <v>471</v>
      </c>
      <c r="H137" s="42"/>
      <c r="I137" s="51" t="s">
        <v>472</v>
      </c>
      <c r="J137" s="59" t="s">
        <v>87</v>
      </c>
      <c r="K137" s="44" t="str">
        <f>Jawaban!K137</f>
        <v>A</v>
      </c>
      <c r="L137" s="51">
        <f>Jawaban!L137</f>
        <v>0</v>
      </c>
      <c r="M137" s="51" t="s">
        <v>473</v>
      </c>
      <c r="N137" s="46" t="s">
        <v>65</v>
      </c>
      <c r="O137" s="47">
        <f>IF(J137="Ya/Tidak",IF(N137="Ya",1,IF(N137="Tidak",0,"Blm Diisi")),IF(J137="A/B/C",IF(N137="A",1,IF(N137="B",0.5,IF(N137="C",0,"Blm Diisi"))),IF(J137="A/B/C/D",IF(N137="A",1,IF(N137="B",0.67,IF(N137="C",0.33,IF(N137="D",0,"Blm Diisi")))),IF(J137="A/B/C/D/E",IF(N137="A",1,IF(N137="B",0.75,IF(N137="C",0.5,IF(N137="D",0.25,IF(N137="E",0,"Blm Diisi"))))),IF(J137="%",IF(N137="","Blm Diisi",N137),IF(J137="Jumlah",IF(N137="","Blm Diisi",""),IF(J137="Rupiah",IF(N137="","Blm Diisi",""),IF(J137="","","-"))))))))</f>
        <v>1</v>
      </c>
      <c r="P137" s="48"/>
      <c r="Q137" s="101"/>
      <c r="R137" s="50" t="str">
        <f>Jawaban!R137</f>
        <v>Telah disusun peta proses bisnis dengan adanya penyederhanaan jabatan. </v>
      </c>
      <c r="S137" s="51">
        <f>Jawaban!S137</f>
        <v>0</v>
      </c>
      <c r="T137" s="51">
        <f>Jawaban!T137</f>
        <v>0</v>
      </c>
      <c r="U137" s="51">
        <f>Jawaban!U137</f>
        <v>0</v>
      </c>
      <c r="V137" s="51">
        <f>Jawaban!V137</f>
        <v>0</v>
      </c>
    </row>
    <row r="138" ht="15.75" customHeight="1" spans="1:22">
      <c r="A138" s="12">
        <v>137</v>
      </c>
      <c r="B138" s="30"/>
      <c r="C138" s="35"/>
      <c r="D138" s="35"/>
      <c r="E138" s="35" t="s">
        <v>68</v>
      </c>
      <c r="F138" s="29" t="s">
        <v>474</v>
      </c>
      <c r="G138" s="30"/>
      <c r="H138" s="36">
        <v>1</v>
      </c>
      <c r="I138" s="37"/>
      <c r="J138" s="36"/>
      <c r="K138" s="36">
        <f>Jawaban!K138</f>
        <v>0</v>
      </c>
      <c r="L138" s="54">
        <f>Jawaban!L138</f>
        <v>0</v>
      </c>
      <c r="M138" s="100"/>
      <c r="N138" s="36"/>
      <c r="O138" s="36">
        <f>AVERAGE(O139:O140)*H138</f>
        <v>1</v>
      </c>
      <c r="P138" s="38">
        <f>O138/H138</f>
        <v>1</v>
      </c>
      <c r="Q138" s="81"/>
      <c r="R138" s="51">
        <f>Jawaban!R138</f>
        <v>0</v>
      </c>
      <c r="S138" s="51">
        <f>Jawaban!S138</f>
        <v>0</v>
      </c>
      <c r="T138" s="51">
        <f>Jawaban!T138</f>
        <v>0</v>
      </c>
      <c r="U138" s="51">
        <f>Jawaban!U138</f>
        <v>0</v>
      </c>
      <c r="V138" s="51">
        <f>Jawaban!V138</f>
        <v>0</v>
      </c>
    </row>
    <row r="139" ht="15.75" customHeight="1" spans="1:22">
      <c r="A139" s="12">
        <v>138</v>
      </c>
      <c r="B139" s="29"/>
      <c r="C139" s="35"/>
      <c r="D139" s="35"/>
      <c r="E139" s="35"/>
      <c r="F139" s="40" t="s">
        <v>28</v>
      </c>
      <c r="G139" s="41" t="s">
        <v>475</v>
      </c>
      <c r="H139" s="42"/>
      <c r="I139" s="51" t="s">
        <v>476</v>
      </c>
      <c r="J139" s="59" t="s">
        <v>64</v>
      </c>
      <c r="K139" s="44" t="str">
        <f>Jawaban!K139</f>
        <v>A</v>
      </c>
      <c r="L139" s="51">
        <f>Jawaban!L139</f>
        <v>0</v>
      </c>
      <c r="M139" s="51" t="s">
        <v>477</v>
      </c>
      <c r="N139" s="46" t="s">
        <v>65</v>
      </c>
      <c r="O139" s="47">
        <f t="shared" ref="O139:O140" si="32">IF(J139="Ya/Tidak",IF(N139="Ya",1,IF(N139="Tidak",0,"Blm Diisi")),IF(J139="A/B/C",IF(N139="A",1,IF(N139="B",0.5,IF(N139="C",0,"Blm Diisi"))),IF(J139="A/B/C/D",IF(N139="A",1,IF(N139="B",0.67,IF(N139="C",0.33,IF(N139="D",0,"Blm Diisi")))),IF(J139="A/B/C/D/E",IF(N139="A",1,IF(N139="B",0.75,IF(N139="C",0.5,IF(N139="D",0.25,IF(N139="E",0,"Blm Diisi"))))),IF(J139="%",IF(N139="","Blm Diisi",N139),IF(J139="Jumlah",IF(N139="","Blm Diisi",""),IF(J139="Rupiah",IF(N139="","Blm Diisi",""),IF(J139="","","-"))))))))</f>
        <v>1</v>
      </c>
      <c r="P139" s="48"/>
      <c r="Q139" s="90"/>
      <c r="R139" s="50" t="str">
        <f>Jawaban!R139</f>
        <v>a. Implementasi SPBE telah terintegrasi dan mampu mendorong pelaksanaan pelayanan publik yang lebih cepat dan efisien.</v>
      </c>
      <c r="S139" s="51">
        <f>Jawaban!S139</f>
        <v>0</v>
      </c>
      <c r="T139" s="51">
        <f>Jawaban!T139</f>
        <v>0</v>
      </c>
      <c r="U139" s="51">
        <f>Jawaban!U139</f>
        <v>0</v>
      </c>
      <c r="V139" s="51">
        <f>Jawaban!V139</f>
        <v>0</v>
      </c>
    </row>
    <row r="140" ht="15.75" customHeight="1" spans="1:22">
      <c r="A140" s="12">
        <v>139</v>
      </c>
      <c r="B140" s="29"/>
      <c r="C140" s="35"/>
      <c r="D140" s="35"/>
      <c r="E140" s="35"/>
      <c r="F140" s="40" t="s">
        <v>30</v>
      </c>
      <c r="G140" s="41" t="s">
        <v>479</v>
      </c>
      <c r="H140" s="42"/>
      <c r="I140" s="51" t="s">
        <v>480</v>
      </c>
      <c r="J140" s="59" t="s">
        <v>64</v>
      </c>
      <c r="K140" s="44" t="str">
        <f>Jawaban!K140</f>
        <v>A</v>
      </c>
      <c r="L140" s="51">
        <f>Jawaban!L140</f>
        <v>0</v>
      </c>
      <c r="M140" s="51" t="s">
        <v>481</v>
      </c>
      <c r="N140" s="46" t="s">
        <v>65</v>
      </c>
      <c r="O140" s="47">
        <f t="shared" si="32"/>
        <v>1</v>
      </c>
      <c r="P140" s="48"/>
      <c r="Q140" s="90"/>
      <c r="R140" s="50" t="str">
        <f>Jawaban!R140</f>
        <v>b. Implementasi SPBE telah terintegrasi dan mampu mendorong pelaksanaan pelayanan internal organisasi yang lebih cepat dan efisien.</v>
      </c>
      <c r="S140" s="51">
        <f>Jawaban!S140</f>
        <v>0</v>
      </c>
      <c r="T140" s="51">
        <f>Jawaban!T140</f>
        <v>0</v>
      </c>
      <c r="U140" s="51">
        <f>Jawaban!U140</f>
        <v>0</v>
      </c>
      <c r="V140" s="51">
        <f>Jawaban!V140</f>
        <v>0</v>
      </c>
    </row>
    <row r="141" ht="15.75" customHeight="1" spans="1:22">
      <c r="A141" s="12">
        <v>140</v>
      </c>
      <c r="B141" s="30"/>
      <c r="C141" s="35"/>
      <c r="D141" s="35"/>
      <c r="E141" s="35" t="s">
        <v>83</v>
      </c>
      <c r="F141" s="29" t="s">
        <v>483</v>
      </c>
      <c r="G141" s="30"/>
      <c r="H141" s="36">
        <v>2</v>
      </c>
      <c r="I141" s="37"/>
      <c r="J141" s="36"/>
      <c r="K141" s="36">
        <f>Jawaban!K141</f>
        <v>0</v>
      </c>
      <c r="L141" s="54">
        <f>Jawaban!L141</f>
        <v>0</v>
      </c>
      <c r="M141" s="100"/>
      <c r="N141" s="36"/>
      <c r="O141" s="36">
        <f>AVERAGE(O142:O144)*H141</f>
        <v>2</v>
      </c>
      <c r="P141" s="38">
        <f>O141/H141</f>
        <v>1</v>
      </c>
      <c r="Q141" s="81"/>
      <c r="R141" s="51">
        <f>Jawaban!R141</f>
        <v>0</v>
      </c>
      <c r="S141" s="51">
        <f>Jawaban!S141</f>
        <v>0</v>
      </c>
      <c r="T141" s="51">
        <f>Jawaban!T141</f>
        <v>0</v>
      </c>
      <c r="U141" s="51">
        <f>Jawaban!U141</f>
        <v>0</v>
      </c>
      <c r="V141" s="51">
        <f>Jawaban!V141</f>
        <v>0</v>
      </c>
    </row>
    <row r="142" ht="15.75" customHeight="1" spans="1:22">
      <c r="A142" s="12">
        <v>141</v>
      </c>
      <c r="B142" s="29"/>
      <c r="C142" s="35"/>
      <c r="D142" s="35"/>
      <c r="E142" s="35"/>
      <c r="F142" s="40" t="s">
        <v>54</v>
      </c>
      <c r="G142" s="41" t="s">
        <v>484</v>
      </c>
      <c r="H142" s="42"/>
      <c r="I142" s="51" t="s">
        <v>485</v>
      </c>
      <c r="J142" s="59" t="s">
        <v>124</v>
      </c>
      <c r="K142" s="44" t="str">
        <f>Jawaban!K142</f>
        <v>A</v>
      </c>
      <c r="L142" s="51">
        <f>Jawaban!L142</f>
        <v>0</v>
      </c>
      <c r="M142" s="51" t="s">
        <v>486</v>
      </c>
      <c r="N142" s="46" t="s">
        <v>65</v>
      </c>
      <c r="O142" s="47">
        <f t="shared" ref="O142:O144" si="33">IF(J142="Ya/Tidak",IF(N142="Ya",1,IF(N142="Tidak",0,"Blm Diisi")),IF(J142="A/B/C",IF(N142="A",1,IF(N142="B",0.5,IF(N142="C",0,"Blm Diisi"))),IF(J142="A/B/C/D",IF(N142="A",1,IF(N142="B",0.67,IF(N142="C",0.33,IF(N142="D",0,"Blm Diisi")))),IF(J142="A/B/C/D/E",IF(N142="A",1,IF(N142="B",0.75,IF(N142="C",0.5,IF(N142="D",0.25,IF(N142="E",0,"Blm Diisi"))))),IF(J142="%",IF(N142="","Blm Diisi",N142),IF(J142="Jumlah",IF(N142="","Blm Diisi",""),IF(J142="Rupiah",IF(N142="","Blm Diisi",""),IF(J142="","","-"))))))))</f>
        <v>1</v>
      </c>
      <c r="P142" s="48"/>
      <c r="Q142" s="90"/>
      <c r="R142" s="50" t="str">
        <f>Jawaban!R142</f>
        <v>a. Transformasi digital pada bidang proses bisnis utama telah mampu memberikan nilai manfaat bagi unit kerja secara optimal. </v>
      </c>
      <c r="S142" s="51">
        <f>Jawaban!S142</f>
        <v>0</v>
      </c>
      <c r="T142" s="51">
        <f>Jawaban!T142</f>
        <v>0</v>
      </c>
      <c r="U142" s="51">
        <f>Jawaban!U142</f>
        <v>0</v>
      </c>
      <c r="V142" s="51">
        <f>Jawaban!V142</f>
        <v>0</v>
      </c>
    </row>
    <row r="143" ht="15.75" customHeight="1" spans="1:22">
      <c r="A143" s="12">
        <v>142</v>
      </c>
      <c r="B143" s="29"/>
      <c r="C143" s="35"/>
      <c r="D143" s="35"/>
      <c r="E143" s="35"/>
      <c r="F143" s="40" t="s">
        <v>61</v>
      </c>
      <c r="G143" s="41" t="s">
        <v>488</v>
      </c>
      <c r="H143" s="42"/>
      <c r="I143" s="51" t="s">
        <v>489</v>
      </c>
      <c r="J143" s="59" t="s">
        <v>124</v>
      </c>
      <c r="K143" s="44" t="str">
        <f>Jawaban!K143</f>
        <v>A</v>
      </c>
      <c r="L143" s="51">
        <f>Jawaban!L143</f>
        <v>0</v>
      </c>
      <c r="M143" s="51" t="s">
        <v>490</v>
      </c>
      <c r="N143" s="46" t="s">
        <v>65</v>
      </c>
      <c r="O143" s="47">
        <f t="shared" si="33"/>
        <v>1</v>
      </c>
      <c r="P143" s="48"/>
      <c r="Q143" s="90"/>
      <c r="R143" s="50" t="str">
        <f>Jawaban!R143</f>
        <v>b. Transformasi digital pada bidang administrasi pemerintahan telah mampu memberikan nilai manfaat bagi unit kerja secara optimal. </v>
      </c>
      <c r="S143" s="51">
        <f>Jawaban!S143</f>
        <v>0</v>
      </c>
      <c r="T143" s="51">
        <f>Jawaban!T143</f>
        <v>0</v>
      </c>
      <c r="U143" s="51">
        <f>Jawaban!U143</f>
        <v>0</v>
      </c>
      <c r="V143" s="51">
        <f>Jawaban!V143</f>
        <v>0</v>
      </c>
    </row>
    <row r="144" ht="15.75" customHeight="1" spans="1:22">
      <c r="A144" s="12">
        <v>143</v>
      </c>
      <c r="B144" s="29"/>
      <c r="C144" s="35"/>
      <c r="D144" s="35"/>
      <c r="E144" s="35"/>
      <c r="F144" s="40" t="s">
        <v>78</v>
      </c>
      <c r="G144" s="41" t="s">
        <v>492</v>
      </c>
      <c r="H144" s="42"/>
      <c r="I144" s="51" t="s">
        <v>493</v>
      </c>
      <c r="J144" s="59" t="s">
        <v>124</v>
      </c>
      <c r="K144" s="44" t="str">
        <f>Jawaban!K144</f>
        <v>A</v>
      </c>
      <c r="L144" s="51">
        <f>Jawaban!L144</f>
        <v>0</v>
      </c>
      <c r="M144" s="51" t="s">
        <v>494</v>
      </c>
      <c r="N144" s="46" t="s">
        <v>65</v>
      </c>
      <c r="O144" s="47">
        <f t="shared" si="33"/>
        <v>1</v>
      </c>
      <c r="P144" s="48"/>
      <c r="Q144" s="90"/>
      <c r="R144" s="50" t="str">
        <f>Jawaban!R144</f>
        <v>c. Transformasi digital pada bidang pelayanan publik telah mampu memberikan nilai manfaat bagi unit kerja secara optimal.</v>
      </c>
      <c r="S144" s="51">
        <f>Jawaban!S144</f>
        <v>0</v>
      </c>
      <c r="T144" s="51">
        <f>Jawaban!T144</f>
        <v>0</v>
      </c>
      <c r="U144" s="51">
        <f>Jawaban!U144</f>
        <v>0</v>
      </c>
      <c r="V144" s="51">
        <f>Jawaban!V144</f>
        <v>0</v>
      </c>
    </row>
    <row r="145" ht="15.75" customHeight="1" spans="1:22">
      <c r="A145" s="12">
        <v>147</v>
      </c>
      <c r="B145" s="26"/>
      <c r="C145" s="27"/>
      <c r="D145" s="28" t="s">
        <v>15</v>
      </c>
      <c r="E145" s="29" t="s">
        <v>16</v>
      </c>
      <c r="F145" s="29"/>
      <c r="G145" s="30"/>
      <c r="H145" s="31">
        <v>5</v>
      </c>
      <c r="I145" s="32"/>
      <c r="J145" s="31"/>
      <c r="K145" s="31">
        <f>Jawaban!K145</f>
        <v>0</v>
      </c>
      <c r="L145" s="54">
        <f>Jawaban!L145</f>
        <v>0</v>
      </c>
      <c r="M145" s="55"/>
      <c r="N145" s="31"/>
      <c r="O145" s="31">
        <f>SUM(O146,O148,O150)</f>
        <v>5</v>
      </c>
      <c r="P145" s="33">
        <f t="shared" ref="P145:P146" si="34">O145/H145</f>
        <v>1</v>
      </c>
      <c r="Q145" s="96"/>
      <c r="R145" s="51">
        <f>Jawaban!R145</f>
        <v>0</v>
      </c>
      <c r="S145" s="51">
        <f>Jawaban!S145</f>
        <v>0</v>
      </c>
      <c r="T145" s="51">
        <f>Jawaban!T145</f>
        <v>0</v>
      </c>
      <c r="U145" s="51">
        <f>Jawaban!U145</f>
        <v>0</v>
      </c>
      <c r="V145" s="51">
        <f>Jawaban!V145</f>
        <v>0</v>
      </c>
    </row>
    <row r="146" ht="15.75" customHeight="1" spans="1:22">
      <c r="A146" s="12">
        <v>148</v>
      </c>
      <c r="B146" s="30"/>
      <c r="C146" s="35"/>
      <c r="D146" s="35"/>
      <c r="E146" s="35" t="s">
        <v>52</v>
      </c>
      <c r="F146" s="29" t="s">
        <v>496</v>
      </c>
      <c r="G146" s="30"/>
      <c r="H146" s="36">
        <v>1.5</v>
      </c>
      <c r="I146" s="37"/>
      <c r="J146" s="36"/>
      <c r="K146" s="36">
        <f>Jawaban!K146</f>
        <v>0</v>
      </c>
      <c r="L146" s="54">
        <f>Jawaban!L146</f>
        <v>0</v>
      </c>
      <c r="M146" s="55"/>
      <c r="N146" s="36"/>
      <c r="O146" s="36">
        <f>AVERAGE(O147)*H146</f>
        <v>1.5</v>
      </c>
      <c r="P146" s="38">
        <f t="shared" si="34"/>
        <v>1</v>
      </c>
      <c r="Q146" s="81"/>
      <c r="R146" s="51">
        <f>Jawaban!R146</f>
        <v>0</v>
      </c>
      <c r="S146" s="51">
        <f>Jawaban!S146</f>
        <v>0</v>
      </c>
      <c r="T146" s="51">
        <f>Jawaban!T146</f>
        <v>0</v>
      </c>
      <c r="U146" s="51">
        <f>Jawaban!U146</f>
        <v>0</v>
      </c>
      <c r="V146" s="51">
        <f>Jawaban!V146</f>
        <v>0</v>
      </c>
    </row>
    <row r="147" ht="240" customHeight="1" spans="1:22">
      <c r="A147" s="12">
        <v>149</v>
      </c>
      <c r="B147" s="29"/>
      <c r="C147" s="35"/>
      <c r="D147" s="35"/>
      <c r="E147" s="35"/>
      <c r="F147" s="321" t="s">
        <v>28</v>
      </c>
      <c r="G147" s="41" t="s">
        <v>497</v>
      </c>
      <c r="H147" s="42"/>
      <c r="I147" s="51" t="s">
        <v>498</v>
      </c>
      <c r="J147" s="59" t="s">
        <v>64</v>
      </c>
      <c r="K147" s="44" t="str">
        <f>Jawaban!K147</f>
        <v>A</v>
      </c>
      <c r="L147" s="51">
        <f>Jawaban!L147</f>
        <v>0</v>
      </c>
      <c r="M147" s="51" t="s">
        <v>499</v>
      </c>
      <c r="N147" s="46" t="s">
        <v>65</v>
      </c>
      <c r="O147" s="47">
        <f>IF(J147="Ya/Tidak",IF(N147="Ya",1,IF(N147="Tidak",0,"Blm Diisi")),IF(J147="A/B/C",IF(N147="A",1,IF(N147="B",0.5,IF(N147="C",0,"Blm Diisi"))),IF(J147="A/B/C/D",IF(N147="A",1,IF(N147="B",0.67,IF(N147="C",0.33,IF(N147="D",0,"Blm Diisi")))),IF(J147="A/B/C/D/E",IF(N147="A",1,IF(N147="B",0.75,IF(N147="C",0.5,IF(N147="D",0.25,IF(N147="E",0,"Blm Diisi"))))),IF(J147="%",IF(N147="","Blm Diisi",N147),IF(J147="Jumlah",IF(N147="","Blm Diisi",""),IF(J147="Rupiah",IF(N147="","Blm Diisi",""),IF(J147="","","-"))))))))</f>
        <v>1</v>
      </c>
      <c r="P147" s="48"/>
      <c r="Q147" s="90"/>
      <c r="R147" s="50" t="str">
        <f>Jawaban!R147</f>
        <v>a. Ukuran kinerja individu telah berorientasi hasil (outcome) sesuai pada levelnya.</v>
      </c>
      <c r="S147" s="51">
        <f>Jawaban!S147</f>
        <v>0</v>
      </c>
      <c r="T147" s="51">
        <f>Jawaban!T147</f>
        <v>0</v>
      </c>
      <c r="U147" s="51">
        <f>Jawaban!U147</f>
        <v>0</v>
      </c>
      <c r="V147" s="51">
        <f>Jawaban!V147</f>
        <v>0</v>
      </c>
    </row>
    <row r="148" ht="15.75" customHeight="1" spans="1:22">
      <c r="A148" s="12">
        <v>150</v>
      </c>
      <c r="B148" s="30"/>
      <c r="C148" s="35"/>
      <c r="D148" s="35"/>
      <c r="E148" s="35" t="s">
        <v>68</v>
      </c>
      <c r="F148" s="29" t="s">
        <v>501</v>
      </c>
      <c r="G148" s="30"/>
      <c r="H148" s="36">
        <v>1.5</v>
      </c>
      <c r="I148" s="37"/>
      <c r="J148" s="36"/>
      <c r="K148" s="36">
        <f>Jawaban!K148</f>
        <v>0</v>
      </c>
      <c r="L148" s="54">
        <f>Jawaban!L148</f>
        <v>0</v>
      </c>
      <c r="M148" s="55"/>
      <c r="N148" s="36"/>
      <c r="O148" s="36">
        <f>AVERAGE(O149)*H148</f>
        <v>1.5</v>
      </c>
      <c r="P148" s="38">
        <f>O148/H148</f>
        <v>1</v>
      </c>
      <c r="Q148" s="81"/>
      <c r="R148" s="51">
        <f>Jawaban!R148</f>
        <v>0</v>
      </c>
      <c r="S148" s="51">
        <f>Jawaban!S148</f>
        <v>0</v>
      </c>
      <c r="T148" s="51">
        <f>Jawaban!T148</f>
        <v>0</v>
      </c>
      <c r="U148" s="51">
        <f>Jawaban!U148</f>
        <v>0</v>
      </c>
      <c r="V148" s="51">
        <f>Jawaban!V148</f>
        <v>0</v>
      </c>
    </row>
    <row r="149" ht="15.75" customHeight="1" spans="1:22">
      <c r="A149" s="12">
        <v>151</v>
      </c>
      <c r="B149" s="29"/>
      <c r="C149" s="35"/>
      <c r="D149" s="35"/>
      <c r="E149" s="35"/>
      <c r="F149" s="321" t="s">
        <v>28</v>
      </c>
      <c r="G149" s="41" t="s">
        <v>502</v>
      </c>
      <c r="H149" s="42"/>
      <c r="I149" s="51" t="s">
        <v>503</v>
      </c>
      <c r="J149" s="59" t="s">
        <v>64</v>
      </c>
      <c r="K149" s="44" t="str">
        <f>Jawaban!K149</f>
        <v>A</v>
      </c>
      <c r="L149" s="51">
        <f>Jawaban!L149</f>
        <v>0</v>
      </c>
      <c r="M149" s="51" t="s">
        <v>504</v>
      </c>
      <c r="N149" s="46" t="s">
        <v>65</v>
      </c>
      <c r="O149" s="47">
        <f>IF(J149="Ya/Tidak",IF(N149="Ya",1,IF(N149="Tidak",0,"Blm Diisi")),IF(J149="A/B/C",IF(N149="A",1,IF(N149="B",0.5,IF(N149="C",0,"Blm Diisi"))),IF(J149="A/B/C/D",IF(N149="A",1,IF(N149="B",0.67,IF(N149="C",0.33,IF(N149="D",0,"Blm Diisi")))),IF(J149="A/B/C/D/E",IF(N149="A",1,IF(N149="B",0.75,IF(N149="C",0.5,IF(N149="D",0.25,IF(N149="E",0,"Blm Diisi"))))),IF(J149="%",IF(N149="","Blm Diisi",N149),IF(J149="Jumlah",IF(N149="","Blm Diisi",""),IF(J149="Rupiah",IF(N149="","Blm Diisi",""),IF(J149="","","-"))))))))</f>
        <v>1</v>
      </c>
      <c r="P149" s="48"/>
      <c r="Q149" s="90"/>
      <c r="R149" s="50" t="str">
        <f>Jawaban!R149</f>
        <v>a. Hasil assement telah dijadikan pertimbangan untuk mutasi dan pengembangan karir pegawai.</v>
      </c>
      <c r="S149" s="51">
        <f>Jawaban!S149</f>
        <v>0</v>
      </c>
      <c r="T149" s="51">
        <f>Jawaban!T149</f>
        <v>0</v>
      </c>
      <c r="U149" s="51">
        <f>Jawaban!U149</f>
        <v>0</v>
      </c>
      <c r="V149" s="51">
        <f>Jawaban!V149</f>
        <v>0</v>
      </c>
    </row>
    <row r="150" ht="15.75" customHeight="1" spans="1:22">
      <c r="A150" s="12">
        <v>152</v>
      </c>
      <c r="B150" s="30"/>
      <c r="C150" s="35"/>
      <c r="D150" s="35"/>
      <c r="E150" s="35" t="s">
        <v>83</v>
      </c>
      <c r="F150" s="29" t="s">
        <v>506</v>
      </c>
      <c r="G150" s="30"/>
      <c r="H150" s="36">
        <v>2</v>
      </c>
      <c r="I150" s="37"/>
      <c r="J150" s="36"/>
      <c r="K150" s="36">
        <f>Jawaban!K150</f>
        <v>0</v>
      </c>
      <c r="L150" s="54">
        <f>Jawaban!L150</f>
        <v>0</v>
      </c>
      <c r="M150" s="100"/>
      <c r="N150" s="36"/>
      <c r="O150" s="36">
        <f>AVERAGE(O151:O154)*H150</f>
        <v>2</v>
      </c>
      <c r="P150" s="38">
        <f>O150/H150</f>
        <v>1</v>
      </c>
      <c r="Q150" s="81"/>
      <c r="R150" s="51">
        <f>Jawaban!R150</f>
        <v>0</v>
      </c>
      <c r="S150" s="51">
        <f>Jawaban!S150</f>
        <v>0</v>
      </c>
      <c r="T150" s="51">
        <f>Jawaban!T150</f>
        <v>0</v>
      </c>
      <c r="U150" s="51">
        <f>Jawaban!U150</f>
        <v>0</v>
      </c>
      <c r="V150" s="51">
        <f>Jawaban!V150</f>
        <v>0</v>
      </c>
    </row>
    <row r="151" ht="15.75" customHeight="1" spans="1:22">
      <c r="A151" s="12">
        <v>153</v>
      </c>
      <c r="B151" s="29"/>
      <c r="C151" s="35"/>
      <c r="D151" s="35"/>
      <c r="E151" s="35"/>
      <c r="F151" s="321" t="s">
        <v>28</v>
      </c>
      <c r="G151" s="41" t="s">
        <v>507</v>
      </c>
      <c r="H151" s="42"/>
      <c r="I151" s="41" t="s">
        <v>508</v>
      </c>
      <c r="J151" s="59" t="s">
        <v>452</v>
      </c>
      <c r="K151" s="97">
        <f>Jawaban!K151</f>
        <v>1</v>
      </c>
      <c r="L151" s="51">
        <f>Jawaban!L151</f>
        <v>0</v>
      </c>
      <c r="M151" s="41" t="s">
        <v>509</v>
      </c>
      <c r="N151" s="97">
        <f>IF(OR(N152="",N153=""),"#DIV/0!",IF(N153=0,100%,IF(AND(N152=0,N153&gt;0),0%,IF((N152-N153)/N152&lt;0,0%,(N152-N153)/N152))))</f>
        <v>1</v>
      </c>
      <c r="O151" s="47">
        <f t="shared" ref="O151:O154" si="35">IF(J151="Ya/Tidak",IF(N151="Ya",1,IF(N151="Tidak",0,"Blm Diisi")),IF(J151="A/B/C",IF(N151="A",1,IF(N151="B",0.5,IF(N151="C",0,"Blm Diisi"))),IF(J151="A/B/C/D",IF(N151="A",1,IF(N151="B",0.67,IF(N151="C",0.33,IF(N151="D",0,"Blm Diisi")))),IF(J151="A/B/C/D/E",IF(N151="A",1,IF(N151="B",0.75,IF(N151="C",0.5,IF(N151="D",0.25,IF(N151="E",0,"Blm Diisi"))))),IF(J151="%",IF(N151="","Blm Diisi",N151),IF(J151="Jumlah",IF(N151="","Blm Diisi",""),IF(J151="Rupiah",IF(N151="","Blm Diisi",""),IF(J151="","","-"))))))))</f>
        <v>1</v>
      </c>
      <c r="P151" s="48"/>
      <c r="Q151" s="102"/>
      <c r="R151" s="50" t="str">
        <f>Jawaban!R151</f>
        <v>a. Penurunan pelanggaran disiplin pegawai. </v>
      </c>
      <c r="S151" s="51">
        <f>Jawaban!S151</f>
        <v>0</v>
      </c>
      <c r="T151" s="51">
        <f>Jawaban!T151</f>
        <v>0</v>
      </c>
      <c r="U151" s="51">
        <f>Jawaban!U151</f>
        <v>0</v>
      </c>
      <c r="V151" s="51">
        <f>Jawaban!V151</f>
        <v>0</v>
      </c>
    </row>
    <row r="152" ht="15.75" customHeight="1" spans="1:22">
      <c r="A152" s="12">
        <v>154</v>
      </c>
      <c r="B152" s="29"/>
      <c r="C152" s="35"/>
      <c r="D152" s="35"/>
      <c r="E152" s="35"/>
      <c r="F152" s="40"/>
      <c r="G152" s="322" t="s">
        <v>511</v>
      </c>
      <c r="H152" s="42"/>
      <c r="I152" s="41"/>
      <c r="J152" s="59" t="s">
        <v>456</v>
      </c>
      <c r="K152" s="59">
        <f>Jawaban!K152</f>
        <v>1</v>
      </c>
      <c r="L152" s="51">
        <f>Jawaban!L152</f>
        <v>0</v>
      </c>
      <c r="M152" s="93"/>
      <c r="N152" s="99">
        <v>1</v>
      </c>
      <c r="O152" s="47" t="str">
        <f t="shared" si="35"/>
        <v/>
      </c>
      <c r="P152" s="48"/>
      <c r="Q152" s="90"/>
      <c r="R152" s="51">
        <f>Jawaban!R152</f>
        <v>0</v>
      </c>
      <c r="S152" s="51">
        <f>Jawaban!S152</f>
        <v>0</v>
      </c>
      <c r="T152" s="51">
        <f>Jawaban!T152</f>
        <v>0</v>
      </c>
      <c r="U152" s="51">
        <f>Jawaban!U152</f>
        <v>0</v>
      </c>
      <c r="V152" s="51">
        <f>Jawaban!V152</f>
        <v>0</v>
      </c>
    </row>
    <row r="153" ht="15.75" customHeight="1" spans="1:22">
      <c r="A153" s="12">
        <v>155</v>
      </c>
      <c r="B153" s="29"/>
      <c r="C153" s="35"/>
      <c r="D153" s="35"/>
      <c r="E153" s="35"/>
      <c r="F153" s="40"/>
      <c r="G153" s="322" t="s">
        <v>512</v>
      </c>
      <c r="H153" s="42"/>
      <c r="I153" s="41"/>
      <c r="J153" s="59" t="s">
        <v>456</v>
      </c>
      <c r="K153" s="59">
        <f>Jawaban!K153</f>
        <v>0</v>
      </c>
      <c r="L153" s="51">
        <f>Jawaban!L153</f>
        <v>0</v>
      </c>
      <c r="M153" s="93"/>
      <c r="N153" s="99">
        <v>0</v>
      </c>
      <c r="O153" s="47" t="str">
        <f t="shared" si="35"/>
        <v/>
      </c>
      <c r="P153" s="48"/>
      <c r="Q153" s="90"/>
      <c r="R153" s="51">
        <f>Jawaban!R153</f>
        <v>0</v>
      </c>
      <c r="S153" s="51">
        <f>Jawaban!S153</f>
        <v>0</v>
      </c>
      <c r="T153" s="51">
        <f>Jawaban!T153</f>
        <v>0</v>
      </c>
      <c r="U153" s="51">
        <f>Jawaban!U153</f>
        <v>0</v>
      </c>
      <c r="V153" s="51">
        <f>Jawaban!V153</f>
        <v>0</v>
      </c>
    </row>
    <row r="154" ht="15.75" customHeight="1" spans="1:22">
      <c r="A154" s="12">
        <v>156</v>
      </c>
      <c r="B154" s="29"/>
      <c r="C154" s="35"/>
      <c r="D154" s="35"/>
      <c r="E154" s="35"/>
      <c r="F154" s="40"/>
      <c r="G154" s="322" t="s">
        <v>513</v>
      </c>
      <c r="H154" s="42"/>
      <c r="I154" s="41"/>
      <c r="J154" s="59" t="s">
        <v>456</v>
      </c>
      <c r="K154" s="59">
        <f>Jawaban!K154</f>
        <v>0</v>
      </c>
      <c r="L154" s="51">
        <f>Jawaban!L154</f>
        <v>0</v>
      </c>
      <c r="M154" s="93"/>
      <c r="N154" s="99">
        <v>0</v>
      </c>
      <c r="O154" s="47" t="str">
        <f t="shared" si="35"/>
        <v/>
      </c>
      <c r="P154" s="48"/>
      <c r="Q154" s="90"/>
      <c r="R154" s="51">
        <f>Jawaban!R154</f>
        <v>0</v>
      </c>
      <c r="S154" s="51">
        <f>Jawaban!S154</f>
        <v>0</v>
      </c>
      <c r="T154" s="51">
        <f>Jawaban!T154</f>
        <v>0</v>
      </c>
      <c r="U154" s="51">
        <f>Jawaban!U154</f>
        <v>0</v>
      </c>
      <c r="V154" s="51">
        <f>Jawaban!V154</f>
        <v>0</v>
      </c>
    </row>
    <row r="155" ht="15.75" customHeight="1" spans="1:22">
      <c r="A155" s="12">
        <v>157</v>
      </c>
      <c r="B155" s="26"/>
      <c r="C155" s="27"/>
      <c r="D155" s="28" t="s">
        <v>17</v>
      </c>
      <c r="E155" s="29" t="s">
        <v>18</v>
      </c>
      <c r="F155" s="29"/>
      <c r="G155" s="30"/>
      <c r="H155" s="31">
        <v>5</v>
      </c>
      <c r="I155" s="32"/>
      <c r="J155" s="31"/>
      <c r="K155" s="31">
        <f>Jawaban!K155</f>
        <v>0</v>
      </c>
      <c r="L155" s="54">
        <f>Jawaban!L155</f>
        <v>0</v>
      </c>
      <c r="M155" s="100"/>
      <c r="N155" s="31"/>
      <c r="O155" s="31">
        <f>SUM(O156,O160,O162)</f>
        <v>5</v>
      </c>
      <c r="P155" s="33"/>
      <c r="Q155" s="96"/>
      <c r="R155" s="51">
        <f>Jawaban!R155</f>
        <v>0</v>
      </c>
      <c r="S155" s="51">
        <f>Jawaban!S155</f>
        <v>0</v>
      </c>
      <c r="T155" s="51">
        <f>Jawaban!T155</f>
        <v>0</v>
      </c>
      <c r="U155" s="51">
        <f>Jawaban!U155</f>
        <v>0</v>
      </c>
      <c r="V155" s="51">
        <f>Jawaban!V155</f>
        <v>0</v>
      </c>
    </row>
    <row r="156" ht="15.75" customHeight="1" spans="1:22">
      <c r="A156" s="12">
        <v>173</v>
      </c>
      <c r="B156" s="30"/>
      <c r="C156" s="35"/>
      <c r="D156" s="35"/>
      <c r="E156" s="35" t="s">
        <v>52</v>
      </c>
      <c r="F156" s="29" t="s">
        <v>514</v>
      </c>
      <c r="G156" s="30"/>
      <c r="H156" s="36">
        <v>2</v>
      </c>
      <c r="I156" s="37"/>
      <c r="J156" s="36"/>
      <c r="K156" s="36">
        <f>Jawaban!K156</f>
        <v>0</v>
      </c>
      <c r="L156" s="54">
        <f>Jawaban!L156</f>
        <v>0</v>
      </c>
      <c r="M156" s="100"/>
      <c r="N156" s="36"/>
      <c r="O156" s="36">
        <f>AVERAGE(O157:O159)*H156</f>
        <v>2</v>
      </c>
      <c r="P156" s="38">
        <f>O156/H156</f>
        <v>1</v>
      </c>
      <c r="Q156" s="81"/>
      <c r="R156" s="51">
        <f>Jawaban!R156</f>
        <v>0</v>
      </c>
      <c r="S156" s="51">
        <f>Jawaban!S156</f>
        <v>0</v>
      </c>
      <c r="T156" s="51">
        <f>Jawaban!T156</f>
        <v>0</v>
      </c>
      <c r="U156" s="51">
        <f>Jawaban!U156</f>
        <v>0</v>
      </c>
      <c r="V156" s="51">
        <f>Jawaban!V156</f>
        <v>0</v>
      </c>
    </row>
    <row r="157" ht="150.75" customHeight="1" spans="1:22">
      <c r="A157" s="12">
        <v>174</v>
      </c>
      <c r="B157" s="29"/>
      <c r="C157" s="35"/>
      <c r="D157" s="35"/>
      <c r="E157" s="35"/>
      <c r="F157" s="321" t="s">
        <v>34</v>
      </c>
      <c r="G157" s="322" t="s">
        <v>515</v>
      </c>
      <c r="H157" s="42"/>
      <c r="I157" s="41" t="s">
        <v>516</v>
      </c>
      <c r="J157" s="59" t="s">
        <v>452</v>
      </c>
      <c r="K157" s="97">
        <f>Jawaban!K157</f>
        <v>1</v>
      </c>
      <c r="L157" s="51">
        <f>Jawaban!L157</f>
        <v>0</v>
      </c>
      <c r="M157" s="41" t="s">
        <v>517</v>
      </c>
      <c r="N157" s="97">
        <f>N159/N158</f>
        <v>1</v>
      </c>
      <c r="O157" s="47">
        <f t="shared" ref="O157:O159" si="36">IF(J157="Ya/Tidak",IF(N157="Ya",1,IF(N157="Tidak",0,"Blm Diisi")),IF(J157="A/B/C",IF(N157="A",1,IF(N157="B",0.5,IF(N157="C",0,"Blm Diisi"))),IF(J157="A/B/C/D",IF(N157="A",1,IF(N157="B",0.67,IF(N157="C",0.33,IF(N157="D",0,"Blm Diisi")))),IF(J157="A/B/C/D/E",IF(N157="A",1,IF(N157="B",0.75,IF(N157="C",0.5,IF(N157="D",0.25,IF(N157="E",0,"Blm Diisi"))))),IF(J157="%",IF(N157="","Blm Diisi",N157),IF(J157="Jumlah",IF(N157="","Blm Diisi",""),IF(J157="Rupiah",IF(N157="","Blm Diisi",""),IF(J157="","","-"))))))))</f>
        <v>1</v>
      </c>
      <c r="P157" s="48"/>
      <c r="Q157" s="98"/>
      <c r="R157" s="50" t="str">
        <f>Jawaban!R157</f>
        <v>a. Persentase Sasaran dengan capaian 100% atau lebih. </v>
      </c>
      <c r="S157" s="51">
        <f>Jawaban!S157</f>
        <v>0</v>
      </c>
      <c r="T157" s="51">
        <f>Jawaban!T157</f>
        <v>0</v>
      </c>
      <c r="U157" s="51">
        <f>Jawaban!U157</f>
        <v>0</v>
      </c>
      <c r="V157" s="51">
        <f>Jawaban!V157</f>
        <v>0</v>
      </c>
    </row>
    <row r="158" ht="15.75" customHeight="1" spans="1:22">
      <c r="A158" s="12">
        <v>175</v>
      </c>
      <c r="B158" s="29"/>
      <c r="C158" s="35"/>
      <c r="D158" s="35"/>
      <c r="E158" s="35"/>
      <c r="F158" s="103"/>
      <c r="G158" s="322" t="s">
        <v>519</v>
      </c>
      <c r="H158" s="42"/>
      <c r="I158" s="41"/>
      <c r="J158" s="59" t="s">
        <v>456</v>
      </c>
      <c r="K158" s="59">
        <f>Jawaban!K158</f>
        <v>1</v>
      </c>
      <c r="L158" s="54">
        <f>Jawaban!L158</f>
        <v>0</v>
      </c>
      <c r="M158" s="93"/>
      <c r="N158" s="99">
        <v>1</v>
      </c>
      <c r="O158" s="47" t="str">
        <f t="shared" si="36"/>
        <v/>
      </c>
      <c r="P158" s="48"/>
      <c r="Q158" s="90"/>
      <c r="R158" s="51">
        <f>Jawaban!R158</f>
        <v>0</v>
      </c>
      <c r="S158" s="51">
        <f>Jawaban!S158</f>
        <v>0</v>
      </c>
      <c r="T158" s="51">
        <f>Jawaban!T158</f>
        <v>0</v>
      </c>
      <c r="U158" s="51">
        <f>Jawaban!U158</f>
        <v>0</v>
      </c>
      <c r="V158" s="51">
        <f>Jawaban!V158</f>
        <v>0</v>
      </c>
    </row>
    <row r="159" ht="15.75" customHeight="1" spans="1:22">
      <c r="A159" s="12">
        <v>176</v>
      </c>
      <c r="B159" s="29"/>
      <c r="C159" s="35"/>
      <c r="D159" s="35"/>
      <c r="E159" s="35"/>
      <c r="F159" s="103"/>
      <c r="G159" s="322" t="s">
        <v>520</v>
      </c>
      <c r="H159" s="42"/>
      <c r="I159" s="41"/>
      <c r="J159" s="59" t="s">
        <v>456</v>
      </c>
      <c r="K159" s="59">
        <f>Jawaban!K159</f>
        <v>1</v>
      </c>
      <c r="L159" s="54">
        <f>Jawaban!L159</f>
        <v>0</v>
      </c>
      <c r="M159" s="93"/>
      <c r="N159" s="99">
        <v>1</v>
      </c>
      <c r="O159" s="47" t="str">
        <f t="shared" si="36"/>
        <v/>
      </c>
      <c r="P159" s="48"/>
      <c r="Q159" s="90"/>
      <c r="R159" s="51">
        <f>Jawaban!R159</f>
        <v>0</v>
      </c>
      <c r="S159" s="51">
        <f>Jawaban!S159</f>
        <v>0</v>
      </c>
      <c r="T159" s="51">
        <f>Jawaban!T159</f>
        <v>0</v>
      </c>
      <c r="U159" s="51">
        <f>Jawaban!U159</f>
        <v>0</v>
      </c>
      <c r="V159" s="51">
        <f>Jawaban!V159</f>
        <v>0</v>
      </c>
    </row>
    <row r="160" ht="15.75" customHeight="1" spans="1:22">
      <c r="A160" s="12">
        <v>177</v>
      </c>
      <c r="B160" s="30"/>
      <c r="C160" s="35"/>
      <c r="D160" s="35"/>
      <c r="E160" s="35" t="s">
        <v>68</v>
      </c>
      <c r="F160" s="29" t="s">
        <v>521</v>
      </c>
      <c r="G160" s="30"/>
      <c r="H160" s="36">
        <v>1.5</v>
      </c>
      <c r="I160" s="37"/>
      <c r="J160" s="36"/>
      <c r="K160" s="36">
        <f>Jawaban!K160</f>
        <v>0</v>
      </c>
      <c r="L160" s="54">
        <f>Jawaban!L160</f>
        <v>0</v>
      </c>
      <c r="M160" s="55"/>
      <c r="N160" s="36"/>
      <c r="O160" s="36">
        <f>AVERAGE(O161)*H160</f>
        <v>1.5</v>
      </c>
      <c r="P160" s="38">
        <f>O160/H160</f>
        <v>1</v>
      </c>
      <c r="Q160" s="81"/>
      <c r="R160" s="51">
        <f>Jawaban!R160</f>
        <v>0</v>
      </c>
      <c r="S160" s="51">
        <f>Jawaban!S160</f>
        <v>0</v>
      </c>
      <c r="T160" s="51">
        <f>Jawaban!T160</f>
        <v>0</v>
      </c>
      <c r="U160" s="51">
        <f>Jawaban!U160</f>
        <v>0</v>
      </c>
      <c r="V160" s="51">
        <f>Jawaban!V160</f>
        <v>0</v>
      </c>
    </row>
    <row r="161" ht="330.75" customHeight="1" spans="1:22">
      <c r="A161" s="12">
        <v>178</v>
      </c>
      <c r="B161" s="29"/>
      <c r="C161" s="35"/>
      <c r="D161" s="35"/>
      <c r="E161" s="35"/>
      <c r="F161" s="321" t="s">
        <v>34</v>
      </c>
      <c r="G161" s="322" t="s">
        <v>522</v>
      </c>
      <c r="H161" s="42"/>
      <c r="I161" s="51" t="s">
        <v>523</v>
      </c>
      <c r="J161" s="59" t="s">
        <v>87</v>
      </c>
      <c r="K161" s="44" t="str">
        <f>Jawaban!K161</f>
        <v>A</v>
      </c>
      <c r="L161" s="51">
        <f>Jawaban!L161</f>
        <v>0</v>
      </c>
      <c r="M161" s="51" t="s">
        <v>524</v>
      </c>
      <c r="N161" s="46" t="s">
        <v>65</v>
      </c>
      <c r="O161" s="47">
        <f>IF(J161="Ya/Tidak",IF(N161="Ya",1,IF(N161="Tidak",0,"Blm Diisi")),IF(J161="A/B/C",IF(N161="A",1,IF(N161="B",0.5,IF(N161="C",0,"Blm Diisi"))),IF(J161="A/B/C/D",IF(N161="A",1,IF(N161="B",0.67,IF(N161="C",0.33,IF(N161="D",0,"Blm Diisi")))),IF(J161="A/B/C/D/E",IF(N161="A",1,IF(N161="B",0.75,IF(N161="C",0.5,IF(N161="D",0.25,IF(N161="E",0,"Blm Diisi"))))),IF(J161="%",IF(N161="","Blm Diisi",N161),IF(J161="Jumlah",IF(N161="","Blm Diisi",""),IF(J161="Rupiah",IF(N161="","Blm Diisi",""),IF(J161="","","-"))))))))</f>
        <v>1</v>
      </c>
      <c r="P161" s="48"/>
      <c r="Q161" s="90"/>
      <c r="R161" s="50" t="str">
        <f>Jawaban!R161</f>
        <v>Hasil Capaian/Monitoring Perjanjian Kinerja telah dijadikan dasar sebagai pemberian reward and punishment bagi organisasi.</v>
      </c>
      <c r="S161" s="51">
        <f>Jawaban!S161</f>
        <v>0</v>
      </c>
      <c r="T161" s="51">
        <f>Jawaban!T161</f>
        <v>0</v>
      </c>
      <c r="U161" s="51">
        <f>Jawaban!U161</f>
        <v>0</v>
      </c>
      <c r="V161" s="51">
        <f>Jawaban!V161</f>
        <v>0</v>
      </c>
    </row>
    <row r="162" ht="15.75" customHeight="1" spans="1:22">
      <c r="A162" s="12">
        <v>179</v>
      </c>
      <c r="B162" s="30"/>
      <c r="C162" s="35"/>
      <c r="D162" s="35"/>
      <c r="E162" s="35" t="s">
        <v>83</v>
      </c>
      <c r="F162" s="29" t="s">
        <v>525</v>
      </c>
      <c r="G162" s="30"/>
      <c r="H162" s="36">
        <v>1.5</v>
      </c>
      <c r="I162" s="37"/>
      <c r="J162" s="36"/>
      <c r="K162" s="36">
        <f>Jawaban!K162</f>
        <v>0</v>
      </c>
      <c r="L162" s="54">
        <f>Jawaban!L162</f>
        <v>0</v>
      </c>
      <c r="M162" s="100"/>
      <c r="N162" s="36"/>
      <c r="O162" s="36">
        <f>AVERAGE(O163)*H162</f>
        <v>1.5</v>
      </c>
      <c r="P162" s="38">
        <f>O162/H162</f>
        <v>1</v>
      </c>
      <c r="Q162" s="81"/>
      <c r="R162" s="51">
        <f>Jawaban!R162</f>
        <v>0</v>
      </c>
      <c r="S162" s="51">
        <f>Jawaban!S162</f>
        <v>0</v>
      </c>
      <c r="T162" s="51">
        <f>Jawaban!T162</f>
        <v>0</v>
      </c>
      <c r="U162" s="51">
        <f>Jawaban!U162</f>
        <v>0</v>
      </c>
      <c r="V162" s="51">
        <f>Jawaban!V162</f>
        <v>0</v>
      </c>
    </row>
    <row r="163" ht="15.75" customHeight="1" spans="1:22">
      <c r="A163" s="12">
        <v>180</v>
      </c>
      <c r="B163" s="29"/>
      <c r="C163" s="35"/>
      <c r="D163" s="35"/>
      <c r="E163" s="35"/>
      <c r="F163" s="321" t="s">
        <v>34</v>
      </c>
      <c r="G163" s="322" t="s">
        <v>526</v>
      </c>
      <c r="H163" s="42"/>
      <c r="I163" s="51" t="s">
        <v>527</v>
      </c>
      <c r="J163" s="59" t="s">
        <v>87</v>
      </c>
      <c r="K163" s="44" t="str">
        <f>Jawaban!K163</f>
        <v>A</v>
      </c>
      <c r="L163" s="51">
        <f>Jawaban!L163</f>
        <v>0</v>
      </c>
      <c r="M163" s="51" t="s">
        <v>528</v>
      </c>
      <c r="N163" s="46" t="s">
        <v>65</v>
      </c>
      <c r="O163" s="47">
        <f>IF(J163="Ya/Tidak",IF(N163="Ya",1,IF(N163="Tidak",0,"Blm Diisi")),IF(J163="A/B/C",IF(N163="A",1,IF(N163="B",0.5,IF(N163="C",0,"Blm Diisi"))),IF(J163="A/B/C/D",IF(N163="A",1,IF(N163="B",0.67,IF(N163="C",0.33,IF(N163="D",0,"Blm Diisi")))),IF(J163="A/B/C/D/E",IF(N163="A",1,IF(N163="B",0.75,IF(N163="C",0.5,IF(N163="D",0.25,IF(N163="E",0,"Blm Diisi"))))),IF(J163="%",IF(N163="","Blm Diisi",N163),IF(J163="Jumlah",IF(N163="","Blm Diisi",""),IF(J163="Rupiah",IF(N163="","Blm Diisi",""),IF(J163="","","-"))))))))</f>
        <v>1</v>
      </c>
      <c r="P163" s="48"/>
      <c r="Q163" s="90"/>
      <c r="R163" s="50" t="str">
        <f>Jawaban!R163</f>
        <v>Apakah terdapat penjenjangan kinerja ((Kerangka Logis Kinerja) yang mengacu pada kinerja utama  organisasi dan dijadikan dalam penentuan kinerja seluruh pegawai? </v>
      </c>
      <c r="S163" s="51">
        <f>Jawaban!S163</f>
        <v>0</v>
      </c>
      <c r="T163" s="51">
        <f>Jawaban!T163</f>
        <v>0</v>
      </c>
      <c r="U163" s="51">
        <f>Jawaban!U163</f>
        <v>0</v>
      </c>
      <c r="V163" s="51">
        <f>Jawaban!V163</f>
        <v>0</v>
      </c>
    </row>
    <row r="164" ht="15.75" customHeight="1" spans="1:22">
      <c r="A164" s="12">
        <v>182</v>
      </c>
      <c r="B164" s="26"/>
      <c r="C164" s="27"/>
      <c r="D164" s="28" t="s">
        <v>19</v>
      </c>
      <c r="E164" s="29" t="s">
        <v>20</v>
      </c>
      <c r="F164" s="29"/>
      <c r="G164" s="30"/>
      <c r="H164" s="31">
        <v>7.5</v>
      </c>
      <c r="I164" s="32"/>
      <c r="J164" s="31"/>
      <c r="K164" s="31">
        <f>Jawaban!K164</f>
        <v>0</v>
      </c>
      <c r="L164" s="54">
        <f>Jawaban!L164</f>
        <v>0</v>
      </c>
      <c r="M164" s="100"/>
      <c r="N164" s="31"/>
      <c r="O164" s="31">
        <f>SUM(O165,O167,O172)</f>
        <v>7.5</v>
      </c>
      <c r="P164" s="33">
        <f t="shared" ref="P164:P165" si="37">O164/H164</f>
        <v>1</v>
      </c>
      <c r="Q164" s="96"/>
      <c r="R164" s="51">
        <f>Jawaban!R164</f>
        <v>0</v>
      </c>
      <c r="S164" s="51">
        <f>Jawaban!S164</f>
        <v>0</v>
      </c>
      <c r="T164" s="51">
        <f>Jawaban!T164</f>
        <v>0</v>
      </c>
      <c r="U164" s="51">
        <f>Jawaban!U164</f>
        <v>0</v>
      </c>
      <c r="V164" s="51">
        <f>Jawaban!V164</f>
        <v>0</v>
      </c>
    </row>
    <row r="165" ht="15.75" customHeight="1" spans="1:22">
      <c r="A165" s="12">
        <v>184</v>
      </c>
      <c r="B165" s="30"/>
      <c r="C165" s="35"/>
      <c r="D165" s="35"/>
      <c r="E165" s="35" t="s">
        <v>52</v>
      </c>
      <c r="F165" s="29" t="s">
        <v>529</v>
      </c>
      <c r="G165" s="30"/>
      <c r="H165" s="36">
        <v>2.5</v>
      </c>
      <c r="I165" s="104"/>
      <c r="J165" s="36"/>
      <c r="K165" s="36">
        <f>Jawaban!K165</f>
        <v>0</v>
      </c>
      <c r="L165" s="54">
        <f>Jawaban!L165</f>
        <v>0</v>
      </c>
      <c r="M165" s="100"/>
      <c r="N165" s="36"/>
      <c r="O165" s="36">
        <f>AVERAGE(O166)*H165</f>
        <v>2.5</v>
      </c>
      <c r="P165" s="38">
        <f t="shared" si="37"/>
        <v>1</v>
      </c>
      <c r="Q165" s="81"/>
      <c r="R165" s="51">
        <f>Jawaban!R165</f>
        <v>0</v>
      </c>
      <c r="S165" s="51">
        <f>Jawaban!S165</f>
        <v>0</v>
      </c>
      <c r="T165" s="51">
        <f>Jawaban!T165</f>
        <v>0</v>
      </c>
      <c r="U165" s="51">
        <f>Jawaban!U165</f>
        <v>0</v>
      </c>
      <c r="V165" s="51">
        <f>Jawaban!V165</f>
        <v>0</v>
      </c>
    </row>
    <row r="166" ht="15.75" customHeight="1" spans="1:22">
      <c r="A166" s="12"/>
      <c r="B166" s="41"/>
      <c r="C166" s="40"/>
      <c r="D166" s="40"/>
      <c r="E166" s="40"/>
      <c r="F166" s="321" t="s">
        <v>34</v>
      </c>
      <c r="G166" s="51" t="s">
        <v>530</v>
      </c>
      <c r="H166" s="42"/>
      <c r="I166" s="104" t="s">
        <v>531</v>
      </c>
      <c r="J166" s="59" t="s">
        <v>124</v>
      </c>
      <c r="K166" s="44" t="str">
        <f>Jawaban!K166</f>
        <v>A</v>
      </c>
      <c r="L166" s="51">
        <f>Jawaban!L166</f>
        <v>0</v>
      </c>
      <c r="M166" s="104" t="s">
        <v>532</v>
      </c>
      <c r="N166" s="46" t="s">
        <v>65</v>
      </c>
      <c r="O166" s="47">
        <f>IF(J166="Ya/Tidak",IF(N166="Ya",1,IF(N166="Tidak",0,"Blm Diisi")),IF(J166="A/B/C",IF(N166="A",1,IF(N166="B",0.5,IF(N166="C",0,"Blm Diisi"))),IF(J166="A/B/C/D",IF(N166="A",1,IF(N166="B",0.67,IF(N166="C",0.33,IF(N166="D",0,"Blm Diisi")))),IF(J166="A/B/C/D/E",IF(N166="A",1,IF(N166="B",0.75,IF(N166="C",0.5,IF(N166="D",0.25,IF(N166="E",0,"Blm Diisi"))))),IF(J166="%",IF(N166="","Blm Diisi",N166),IF(J166="Jumlah",IF(N166="","Blm Diisi",""),IF(J166="Rupiah",IF(N166="","Blm Diisi",""),IF(J166="","","-"))))))))</f>
        <v>1</v>
      </c>
      <c r="P166" s="105"/>
      <c r="Q166" s="106"/>
      <c r="R166" s="50" t="str">
        <f>Jawaban!R166</f>
        <v>Telah dilakukan mekanisme pengendalian aktivitas secara berjenjang.</v>
      </c>
      <c r="S166" s="51">
        <f>Jawaban!S166</f>
        <v>0</v>
      </c>
      <c r="T166" s="51">
        <f>Jawaban!T166</f>
        <v>0</v>
      </c>
      <c r="U166" s="51">
        <f>Jawaban!U166</f>
        <v>0</v>
      </c>
      <c r="V166" s="51">
        <f>Jawaban!V166</f>
        <v>0</v>
      </c>
    </row>
    <row r="167" ht="160.5" customHeight="1" spans="1:22">
      <c r="A167" s="12">
        <v>197</v>
      </c>
      <c r="B167" s="30"/>
      <c r="C167" s="35"/>
      <c r="D167" s="35"/>
      <c r="E167" s="35" t="s">
        <v>68</v>
      </c>
      <c r="F167" s="29" t="s">
        <v>533</v>
      </c>
      <c r="G167" s="30"/>
      <c r="H167" s="36">
        <v>3</v>
      </c>
      <c r="I167" s="104"/>
      <c r="J167" s="36" t="s">
        <v>452</v>
      </c>
      <c r="K167" s="36">
        <f>Jawaban!K167</f>
        <v>0</v>
      </c>
      <c r="L167" s="54">
        <f>Jawaban!L167</f>
        <v>0</v>
      </c>
      <c r="M167" s="104" t="s">
        <v>534</v>
      </c>
      <c r="N167" s="36"/>
      <c r="O167" s="36">
        <f>AVERAGE(O168:O171)*H167</f>
        <v>3</v>
      </c>
      <c r="P167" s="38">
        <f>O167/H167</f>
        <v>1</v>
      </c>
      <c r="Q167" s="81"/>
      <c r="R167" s="50" t="str">
        <f>Jawaban!R167</f>
        <v>B. Penanganan Pengaduan Masyarakat</v>
      </c>
      <c r="S167" s="51">
        <f>Jawaban!S167</f>
        <v>0</v>
      </c>
      <c r="T167" s="51">
        <f>Jawaban!T167</f>
        <v>0</v>
      </c>
      <c r="U167" s="51">
        <f>Jawaban!U167</f>
        <v>0</v>
      </c>
      <c r="V167" s="51">
        <f>Jawaban!V167</f>
        <v>0</v>
      </c>
    </row>
    <row r="168" ht="15.75" customHeight="1" spans="1:22">
      <c r="A168" s="12"/>
      <c r="B168" s="41"/>
      <c r="C168" s="40"/>
      <c r="D168" s="40"/>
      <c r="E168" s="40"/>
      <c r="F168" s="321" t="s">
        <v>34</v>
      </c>
      <c r="G168" s="51" t="s">
        <v>536</v>
      </c>
      <c r="H168" s="42"/>
      <c r="I168" s="104" t="s">
        <v>537</v>
      </c>
      <c r="J168" s="42" t="s">
        <v>452</v>
      </c>
      <c r="K168" s="97">
        <f>Jawaban!K168</f>
        <v>1</v>
      </c>
      <c r="L168" s="51">
        <f>Jawaban!L168</f>
        <v>0</v>
      </c>
      <c r="M168" s="107"/>
      <c r="N168" s="97">
        <f>IF(OR(N169="",N171=""),"#DIV/0!",IF(AND(N169=0,N171=0),"100%",IF(N169&lt;N171,"100%",N171/N169)))</f>
        <v>1</v>
      </c>
      <c r="O168" s="47">
        <f t="shared" ref="O168:O171" si="38">IF(J168="Ya/Tidak",IF(N168="Ya",1,IF(N168="Tidak",0,"Blm Diisi")),IF(J168="A/B/C",IF(N168="A",1,IF(N168="B",0.5,IF(N168="C",0,"Blm Diisi"))),IF(J168="A/B/C/D",IF(N168="A",1,IF(N168="B",0.67,IF(N168="C",0.33,IF(N168="D",0,"Blm Diisi")))),IF(J168="A/B/C/D/E",IF(N168="A",1,IF(N168="B",0.75,IF(N168="C",0.5,IF(N168="D",0.25,IF(N168="E",0,"Blm Diisi"))))),IF(J168="%",IF(N168="","Blm Diisi",N168),IF(J168="Jumlah",IF(N168="","Blm Diisi",""),IF(J168="Rupiah",IF(N168="","Blm Diisi",""),IF(J168="","","-"))))))))</f>
        <v>1</v>
      </c>
      <c r="P168" s="105"/>
      <c r="Q168" s="108"/>
      <c r="R168" s="51">
        <f>Jawaban!R168</f>
        <v>0</v>
      </c>
      <c r="S168" s="51">
        <f>Jawaban!S168</f>
        <v>0</v>
      </c>
      <c r="T168" s="51">
        <f>Jawaban!T168</f>
        <v>0</v>
      </c>
      <c r="U168" s="51">
        <f>Jawaban!U168</f>
        <v>0</v>
      </c>
      <c r="V168" s="51">
        <f>Jawaban!V168</f>
        <v>0</v>
      </c>
    </row>
    <row r="169" ht="15.75" customHeight="1" spans="1:22">
      <c r="A169" s="12">
        <v>199</v>
      </c>
      <c r="B169" s="29"/>
      <c r="C169" s="35"/>
      <c r="D169" s="35"/>
      <c r="E169" s="35"/>
      <c r="F169" s="40"/>
      <c r="G169" s="322" t="s">
        <v>538</v>
      </c>
      <c r="H169" s="42"/>
      <c r="I169" s="41"/>
      <c r="J169" s="59" t="s">
        <v>456</v>
      </c>
      <c r="K169" s="59">
        <f>Jawaban!K169</f>
        <v>1</v>
      </c>
      <c r="L169" s="54">
        <f>Jawaban!L169</f>
        <v>0</v>
      </c>
      <c r="M169" s="93"/>
      <c r="N169" s="99">
        <v>1</v>
      </c>
      <c r="O169" s="47" t="str">
        <f t="shared" si="38"/>
        <v/>
      </c>
      <c r="P169" s="48"/>
      <c r="Q169" s="90"/>
      <c r="R169" s="51">
        <f>Jawaban!R169</f>
        <v>0</v>
      </c>
      <c r="S169" s="51">
        <f>Jawaban!S169</f>
        <v>0</v>
      </c>
      <c r="T169" s="51">
        <f>Jawaban!T169</f>
        <v>0</v>
      </c>
      <c r="U169" s="51">
        <f>Jawaban!U169</f>
        <v>0</v>
      </c>
      <c r="V169" s="51">
        <f>Jawaban!V169</f>
        <v>0</v>
      </c>
    </row>
    <row r="170" ht="15.75" customHeight="1" spans="1:22">
      <c r="A170" s="12">
        <v>200</v>
      </c>
      <c r="B170" s="29"/>
      <c r="C170" s="35"/>
      <c r="D170" s="35"/>
      <c r="E170" s="35"/>
      <c r="F170" s="40"/>
      <c r="G170" s="322" t="s">
        <v>539</v>
      </c>
      <c r="H170" s="42"/>
      <c r="I170" s="41"/>
      <c r="J170" s="59" t="s">
        <v>456</v>
      </c>
      <c r="K170" s="59">
        <f>Jawaban!K170</f>
        <v>1</v>
      </c>
      <c r="L170" s="54">
        <f>Jawaban!L170</f>
        <v>0</v>
      </c>
      <c r="M170" s="93"/>
      <c r="N170" s="99">
        <v>1</v>
      </c>
      <c r="O170" s="47" t="str">
        <f t="shared" si="38"/>
        <v/>
      </c>
      <c r="P170" s="48"/>
      <c r="Q170" s="90"/>
      <c r="R170" s="51">
        <f>Jawaban!R170</f>
        <v>0</v>
      </c>
      <c r="S170" s="51">
        <f>Jawaban!S170</f>
        <v>0</v>
      </c>
      <c r="T170" s="51">
        <f>Jawaban!T170</f>
        <v>0</v>
      </c>
      <c r="U170" s="51">
        <f>Jawaban!U170</f>
        <v>0</v>
      </c>
      <c r="V170" s="51">
        <f>Jawaban!V170</f>
        <v>0</v>
      </c>
    </row>
    <row r="171" ht="15.75" customHeight="1" spans="1:22">
      <c r="A171" s="12">
        <v>201</v>
      </c>
      <c r="B171" s="29"/>
      <c r="C171" s="35"/>
      <c r="D171" s="35"/>
      <c r="E171" s="35"/>
      <c r="F171" s="40"/>
      <c r="G171" s="322" t="s">
        <v>540</v>
      </c>
      <c r="H171" s="42"/>
      <c r="I171" s="41"/>
      <c r="J171" s="59" t="s">
        <v>456</v>
      </c>
      <c r="K171" s="59">
        <f>Jawaban!K171</f>
        <v>1</v>
      </c>
      <c r="L171" s="54">
        <f>Jawaban!L171</f>
        <v>0</v>
      </c>
      <c r="N171" s="99">
        <v>1</v>
      </c>
      <c r="O171" s="47" t="str">
        <f t="shared" si="38"/>
        <v/>
      </c>
      <c r="P171" s="48"/>
      <c r="Q171" s="90"/>
      <c r="R171" s="51">
        <f>Jawaban!R171</f>
        <v>0</v>
      </c>
      <c r="S171" s="51">
        <f>Jawaban!S171</f>
        <v>0</v>
      </c>
      <c r="T171" s="51">
        <f>Jawaban!T171</f>
        <v>0</v>
      </c>
      <c r="U171" s="51">
        <f>Jawaban!U171</f>
        <v>0</v>
      </c>
      <c r="V171" s="51">
        <f>Jawaban!V171</f>
        <v>0</v>
      </c>
    </row>
    <row r="172" ht="180" customHeight="1" spans="1:22">
      <c r="A172" s="12">
        <v>197</v>
      </c>
      <c r="B172" s="30"/>
      <c r="C172" s="35"/>
      <c r="D172" s="35"/>
      <c r="E172" s="35" t="s">
        <v>83</v>
      </c>
      <c r="F172" s="29" t="s">
        <v>541</v>
      </c>
      <c r="G172" s="30"/>
      <c r="H172" s="36">
        <v>2</v>
      </c>
      <c r="I172" s="104" t="s">
        <v>542</v>
      </c>
      <c r="J172" s="36" t="s">
        <v>452</v>
      </c>
      <c r="K172" s="36">
        <f>Jawaban!K172</f>
        <v>0</v>
      </c>
      <c r="L172" s="54">
        <f>Jawaban!L172</f>
        <v>0</v>
      </c>
      <c r="M172" s="109" t="s">
        <v>543</v>
      </c>
      <c r="N172" s="36"/>
      <c r="O172" s="36">
        <f>AVERAGE(O173:O180)*H172</f>
        <v>2</v>
      </c>
      <c r="P172" s="38">
        <f>O172/H172</f>
        <v>1</v>
      </c>
      <c r="Q172" s="78"/>
      <c r="R172" s="51">
        <f>Jawaban!R172</f>
        <v>0</v>
      </c>
      <c r="S172" s="51">
        <f>Jawaban!S172</f>
        <v>0</v>
      </c>
      <c r="T172" s="51">
        <f>Jawaban!T172</f>
        <v>0</v>
      </c>
      <c r="U172" s="51">
        <f>Jawaban!U172</f>
        <v>0</v>
      </c>
      <c r="V172" s="51">
        <f>Jawaban!V172</f>
        <v>0</v>
      </c>
    </row>
    <row r="173" ht="15.75" customHeight="1" spans="1:22">
      <c r="A173" s="110">
        <v>359</v>
      </c>
      <c r="B173" s="111"/>
      <c r="C173" s="112"/>
      <c r="D173" s="112"/>
      <c r="E173" s="112" t="s">
        <v>54</v>
      </c>
      <c r="F173" s="113" t="s">
        <v>544</v>
      </c>
      <c r="G173" s="7"/>
      <c r="H173" s="114">
        <v>1</v>
      </c>
      <c r="I173" s="115"/>
      <c r="J173" s="114"/>
      <c r="K173" s="114">
        <f>Jawaban!K173</f>
        <v>0</v>
      </c>
      <c r="L173" s="54">
        <f>Jawaban!L173</f>
        <v>0</v>
      </c>
      <c r="M173" s="55"/>
      <c r="N173" s="114"/>
      <c r="O173" s="114">
        <f>AVERAGE(O174:O179)*H173</f>
        <v>1</v>
      </c>
      <c r="P173" s="114"/>
      <c r="Q173" s="116"/>
      <c r="R173" s="51">
        <f>Jawaban!R173</f>
        <v>0</v>
      </c>
      <c r="S173" s="51">
        <f>Jawaban!S173</f>
        <v>0</v>
      </c>
      <c r="T173" s="51">
        <f>Jawaban!T173</f>
        <v>0</v>
      </c>
      <c r="U173" s="51">
        <f>Jawaban!U173</f>
        <v>0</v>
      </c>
      <c r="V173" s="51">
        <f>Jawaban!V173</f>
        <v>0</v>
      </c>
    </row>
    <row r="174" ht="132" customHeight="1" spans="1:22">
      <c r="A174" s="110">
        <v>360</v>
      </c>
      <c r="B174" s="117"/>
      <c r="C174" s="118"/>
      <c r="D174" s="118"/>
      <c r="E174" s="118"/>
      <c r="F174" s="323" t="s">
        <v>34</v>
      </c>
      <c r="G174" s="120" t="s">
        <v>545</v>
      </c>
      <c r="H174" s="121"/>
      <c r="I174" s="122"/>
      <c r="J174" s="121" t="s">
        <v>452</v>
      </c>
      <c r="K174" s="123">
        <f>Jawaban!K174</f>
        <v>1</v>
      </c>
      <c r="L174" s="54">
        <f>Jawaban!L174</f>
        <v>0</v>
      </c>
      <c r="M174" s="122" t="s">
        <v>546</v>
      </c>
      <c r="N174" s="123">
        <f>N179/N175</f>
        <v>1</v>
      </c>
      <c r="O174" s="114">
        <f t="shared" ref="O174:O179" si="39">IF(J174="Ya/Tidak",IF(N174="Ya",1,IF(N174="Tidak",0,"Blm Diisi")),IF(J174="A/B/C",IF(N174="A",1,IF(N174="B",0.5,IF(N174="C",0,"Blm Diisi"))),IF(J174="A/B/C/D",IF(N174="A",1,IF(N174="B",0.67,IF(N174="C",0.33,IF(N174="D",0,"Blm Diisi")))),IF(J174="A/B/C/D/E",IF(N174="A",1,IF(N174="B",0.75,IF(N174="C",0.5,IF(N174="D",0.25,IF(N174="E",0,"Blm Diisi"))))),IF(J174="%",IF(N174="","Blm Diisi",N174),IF(J174="Jumlah",IF(N174="","Blm Diisi",""),IF(J174="Rupiah",IF(N174="","Blm Diisi",""),IF(J174="","","-"))))))))</f>
        <v>1</v>
      </c>
      <c r="P174" s="114"/>
      <c r="Q174" s="124"/>
      <c r="R174" s="50" t="str">
        <f>Jawaban!R174</f>
        <v>a. Penyampaian Laporan Harta Kekayaan Pejabat Negara (LHKPN)	</v>
      </c>
      <c r="S174" s="51">
        <f>Jawaban!S174</f>
        <v>0</v>
      </c>
      <c r="T174" s="51">
        <f>Jawaban!T174</f>
        <v>0</v>
      </c>
      <c r="U174" s="51">
        <f>Jawaban!U174</f>
        <v>0</v>
      </c>
      <c r="V174" s="51">
        <f>Jawaban!V174</f>
        <v>0</v>
      </c>
    </row>
    <row r="175" ht="15.75" customHeight="1" spans="1:22">
      <c r="A175" s="110">
        <v>361</v>
      </c>
      <c r="B175" s="117"/>
      <c r="C175" s="118"/>
      <c r="D175" s="118"/>
      <c r="E175" s="118"/>
      <c r="F175" s="125" t="s">
        <v>34</v>
      </c>
      <c r="G175" s="120" t="s">
        <v>548</v>
      </c>
      <c r="H175" s="121"/>
      <c r="I175" s="122"/>
      <c r="J175" s="121" t="s">
        <v>456</v>
      </c>
      <c r="K175" s="121">
        <f>Jawaban!K175</f>
        <v>3</v>
      </c>
      <c r="L175" s="54">
        <f>Jawaban!L175</f>
        <v>0</v>
      </c>
      <c r="M175" s="55"/>
      <c r="N175" s="126">
        <f>SUM(N176:N178)</f>
        <v>3</v>
      </c>
      <c r="O175" s="114" t="str">
        <f t="shared" si="39"/>
        <v/>
      </c>
      <c r="P175" s="114"/>
      <c r="Q175" s="127"/>
      <c r="R175" s="51">
        <f>Jawaban!R175</f>
        <v>0</v>
      </c>
      <c r="S175" s="51">
        <f>Jawaban!S175</f>
        <v>0</v>
      </c>
      <c r="T175" s="51">
        <f>Jawaban!T175</f>
        <v>0</v>
      </c>
      <c r="U175" s="51">
        <f>Jawaban!U175</f>
        <v>0</v>
      </c>
      <c r="V175" s="51">
        <f>Jawaban!V175</f>
        <v>0</v>
      </c>
    </row>
    <row r="176" ht="15.75" customHeight="1" spans="1:22">
      <c r="A176" s="110">
        <v>362</v>
      </c>
      <c r="B176" s="117"/>
      <c r="C176" s="118"/>
      <c r="D176" s="118"/>
      <c r="E176" s="118"/>
      <c r="F176" s="119"/>
      <c r="G176" s="324" t="s">
        <v>549</v>
      </c>
      <c r="H176" s="121"/>
      <c r="I176" s="122"/>
      <c r="J176" s="121" t="s">
        <v>456</v>
      </c>
      <c r="K176" s="121">
        <f>Jawaban!K176</f>
        <v>1</v>
      </c>
      <c r="L176" s="54">
        <f>Jawaban!L176</f>
        <v>0</v>
      </c>
      <c r="M176" s="55"/>
      <c r="N176" s="126">
        <v>1</v>
      </c>
      <c r="O176" s="114" t="str">
        <f t="shared" si="39"/>
        <v/>
      </c>
      <c r="P176" s="114"/>
      <c r="Q176" s="127"/>
      <c r="R176" s="51">
        <f>Jawaban!R176</f>
        <v>0</v>
      </c>
      <c r="S176" s="51">
        <f>Jawaban!S176</f>
        <v>0</v>
      </c>
      <c r="T176" s="51">
        <f>Jawaban!T176</f>
        <v>0</v>
      </c>
      <c r="U176" s="51">
        <f>Jawaban!U176</f>
        <v>0</v>
      </c>
      <c r="V176" s="51">
        <f>Jawaban!V176</f>
        <v>0</v>
      </c>
    </row>
    <row r="177" ht="15.75" customHeight="1" spans="1:22">
      <c r="A177" s="110">
        <v>363</v>
      </c>
      <c r="B177" s="117"/>
      <c r="C177" s="118"/>
      <c r="D177" s="118"/>
      <c r="E177" s="118"/>
      <c r="F177" s="119"/>
      <c r="G177" s="324" t="s">
        <v>550</v>
      </c>
      <c r="H177" s="121"/>
      <c r="I177" s="122"/>
      <c r="J177" s="121" t="s">
        <v>456</v>
      </c>
      <c r="K177" s="121">
        <f>Jawaban!K177</f>
        <v>1</v>
      </c>
      <c r="L177" s="54">
        <f>Jawaban!L177</f>
        <v>0</v>
      </c>
      <c r="M177" s="55"/>
      <c r="N177" s="126">
        <v>1</v>
      </c>
      <c r="O177" s="114" t="str">
        <f t="shared" si="39"/>
        <v/>
      </c>
      <c r="P177" s="114"/>
      <c r="Q177" s="127"/>
      <c r="R177" s="51">
        <f>Jawaban!R177</f>
        <v>0</v>
      </c>
      <c r="S177" s="51">
        <f>Jawaban!S177</f>
        <v>0</v>
      </c>
      <c r="T177" s="51">
        <f>Jawaban!T177</f>
        <v>0</v>
      </c>
      <c r="U177" s="51">
        <f>Jawaban!U177</f>
        <v>0</v>
      </c>
      <c r="V177" s="51">
        <f>Jawaban!V177</f>
        <v>0</v>
      </c>
    </row>
    <row r="178" ht="15.75" customHeight="1" spans="1:22">
      <c r="A178" s="110">
        <v>364</v>
      </c>
      <c r="B178" s="117"/>
      <c r="C178" s="118"/>
      <c r="D178" s="118"/>
      <c r="E178" s="118"/>
      <c r="F178" s="125"/>
      <c r="G178" s="324" t="s">
        <v>551</v>
      </c>
      <c r="H178" s="121"/>
      <c r="I178" s="122"/>
      <c r="J178" s="121" t="s">
        <v>456</v>
      </c>
      <c r="K178" s="121">
        <f>Jawaban!K178</f>
        <v>1</v>
      </c>
      <c r="L178" s="54">
        <f>Jawaban!L178</f>
        <v>0</v>
      </c>
      <c r="M178" s="55"/>
      <c r="N178" s="126">
        <v>1</v>
      </c>
      <c r="O178" s="114" t="str">
        <f t="shared" si="39"/>
        <v/>
      </c>
      <c r="P178" s="114"/>
      <c r="Q178" s="127"/>
      <c r="R178" s="51">
        <f>Jawaban!R178</f>
        <v>0</v>
      </c>
      <c r="S178" s="51">
        <f>Jawaban!S178</f>
        <v>0</v>
      </c>
      <c r="T178" s="51">
        <f>Jawaban!T178</f>
        <v>0</v>
      </c>
      <c r="U178" s="51">
        <f>Jawaban!U178</f>
        <v>0</v>
      </c>
      <c r="V178" s="51">
        <f>Jawaban!V178</f>
        <v>0</v>
      </c>
    </row>
    <row r="179" ht="15.75" customHeight="1" spans="1:22">
      <c r="A179" s="110">
        <v>365</v>
      </c>
      <c r="B179" s="117"/>
      <c r="C179" s="118"/>
      <c r="D179" s="118"/>
      <c r="E179" s="118"/>
      <c r="F179" s="325" t="s">
        <v>34</v>
      </c>
      <c r="G179" s="120" t="s">
        <v>552</v>
      </c>
      <c r="H179" s="121"/>
      <c r="I179" s="122"/>
      <c r="J179" s="121" t="s">
        <v>456</v>
      </c>
      <c r="K179" s="121">
        <f>Jawaban!K179</f>
        <v>3</v>
      </c>
      <c r="L179" s="54">
        <f>Jawaban!L179</f>
        <v>0</v>
      </c>
      <c r="M179" s="55"/>
      <c r="N179" s="126">
        <v>3</v>
      </c>
      <c r="O179" s="114" t="str">
        <f t="shared" si="39"/>
        <v/>
      </c>
      <c r="P179" s="114"/>
      <c r="Q179" s="127"/>
      <c r="R179" s="51">
        <f>Jawaban!R179</f>
        <v>0</v>
      </c>
      <c r="S179" s="51">
        <f>Jawaban!S179</f>
        <v>0</v>
      </c>
      <c r="T179" s="51">
        <f>Jawaban!T179</f>
        <v>0</v>
      </c>
      <c r="U179" s="51">
        <f>Jawaban!U179</f>
        <v>0</v>
      </c>
      <c r="V179" s="51">
        <f>Jawaban!V179</f>
        <v>0</v>
      </c>
    </row>
    <row r="180" ht="133.5" customHeight="1" spans="1:22">
      <c r="A180" s="110">
        <v>366</v>
      </c>
      <c r="B180" s="111"/>
      <c r="C180" s="112"/>
      <c r="D180" s="112"/>
      <c r="E180" s="112" t="s">
        <v>61</v>
      </c>
      <c r="F180" s="113" t="s">
        <v>553</v>
      </c>
      <c r="G180" s="128"/>
      <c r="H180" s="121">
        <v>1</v>
      </c>
      <c r="I180" s="122"/>
      <c r="J180" s="121"/>
      <c r="K180" s="121">
        <f>Jawaban!K180</f>
        <v>0</v>
      </c>
      <c r="L180" s="54">
        <f>Jawaban!L180</f>
        <v>0</v>
      </c>
      <c r="M180" s="122" t="s">
        <v>554</v>
      </c>
      <c r="N180" s="121"/>
      <c r="O180" s="114">
        <f>AVERAGE(O181:O186)*H180</f>
        <v>1</v>
      </c>
      <c r="P180" s="114"/>
      <c r="Q180" s="116"/>
      <c r="R180" s="50" t="str">
        <f>Jawaban!R180</f>
        <v>b. Penyampaian Laporan Harta Kekayaan Non LHKPN (Tidak Wajib LHKPN)</v>
      </c>
      <c r="S180" s="51">
        <f>Jawaban!S180</f>
        <v>0</v>
      </c>
      <c r="T180" s="51">
        <f>Jawaban!T180</f>
        <v>0</v>
      </c>
      <c r="U180" s="51">
        <f>Jawaban!U180</f>
        <v>0</v>
      </c>
      <c r="V180" s="51">
        <f>Jawaban!V180</f>
        <v>0</v>
      </c>
    </row>
    <row r="181" ht="15.75" customHeight="1" spans="1:22">
      <c r="A181" s="110">
        <v>367</v>
      </c>
      <c r="B181" s="117"/>
      <c r="C181" s="118"/>
      <c r="D181" s="118"/>
      <c r="E181" s="118"/>
      <c r="F181" s="323" t="s">
        <v>34</v>
      </c>
      <c r="G181" s="120" t="s">
        <v>556</v>
      </c>
      <c r="H181" s="121"/>
      <c r="I181" s="122" t="s">
        <v>212</v>
      </c>
      <c r="J181" s="121" t="s">
        <v>452</v>
      </c>
      <c r="K181" s="123">
        <f>Jawaban!K181</f>
        <v>1</v>
      </c>
      <c r="L181" s="54">
        <f>Jawaban!L181</f>
        <v>0</v>
      </c>
      <c r="M181" s="129"/>
      <c r="N181" s="123">
        <f>N186/N182</f>
        <v>1</v>
      </c>
      <c r="O181" s="114">
        <f t="shared" ref="O181:O186" si="40">IF(J181="Ya/Tidak",IF(N181="Ya",1,IF(N181="Tidak",0,"Blm Diisi")),IF(J181="A/B/C",IF(N181="A",1,IF(N181="B",0.5,IF(N181="C",0,"Blm Diisi"))),IF(J181="A/B/C/D",IF(N181="A",1,IF(N181="B",0.67,IF(N181="C",0.33,IF(N181="D",0,"Blm Diisi")))),IF(J181="A/B/C/D/E",IF(N181="A",1,IF(N181="B",0.75,IF(N181="C",0.5,IF(N181="D",0.25,IF(N181="E",0,"Blm Diisi"))))),IF(J181="%",IF(N181="","Blm Diisi",N181),IF(J181="Jumlah",IF(N181="","Blm Diisi",""),IF(J181="Rupiah",IF(N181="","Blm Diisi",""),IF(J181="","","-"))))))))</f>
        <v>1</v>
      </c>
      <c r="P181" s="114"/>
      <c r="Q181" s="124"/>
      <c r="R181" s="51">
        <f>Jawaban!R181</f>
        <v>0</v>
      </c>
      <c r="S181" s="51">
        <f>Jawaban!S181</f>
        <v>0</v>
      </c>
      <c r="T181" s="51">
        <f>Jawaban!T181</f>
        <v>0</v>
      </c>
      <c r="U181" s="51">
        <f>Jawaban!U181</f>
        <v>0</v>
      </c>
      <c r="V181" s="51">
        <f>Jawaban!V181</f>
        <v>0</v>
      </c>
    </row>
    <row r="182" ht="15.75" customHeight="1" spans="1:22">
      <c r="A182" s="110">
        <v>368</v>
      </c>
      <c r="B182" s="117"/>
      <c r="C182" s="118"/>
      <c r="D182" s="118"/>
      <c r="E182" s="118"/>
      <c r="F182" s="125" t="s">
        <v>34</v>
      </c>
      <c r="G182" s="120" t="s">
        <v>557</v>
      </c>
      <c r="H182" s="121"/>
      <c r="I182" s="122"/>
      <c r="J182" s="121" t="s">
        <v>456</v>
      </c>
      <c r="K182" s="121">
        <f>Jawaban!K182</f>
        <v>3</v>
      </c>
      <c r="L182" s="54">
        <f>Jawaban!L182</f>
        <v>0</v>
      </c>
      <c r="M182" s="100"/>
      <c r="N182" s="126">
        <v>3</v>
      </c>
      <c r="O182" s="114" t="str">
        <f t="shared" si="40"/>
        <v/>
      </c>
      <c r="P182" s="114"/>
      <c r="Q182" s="130"/>
      <c r="R182" s="51">
        <f>Jawaban!R182</f>
        <v>0</v>
      </c>
      <c r="S182" s="51">
        <f>Jawaban!S182</f>
        <v>0</v>
      </c>
      <c r="T182" s="51">
        <f>Jawaban!T182</f>
        <v>0</v>
      </c>
      <c r="U182" s="51">
        <f>Jawaban!U182</f>
        <v>0</v>
      </c>
      <c r="V182" s="51">
        <f>Jawaban!V182</f>
        <v>0</v>
      </c>
    </row>
    <row r="183" ht="15.75" customHeight="1" spans="1:22">
      <c r="A183" s="110">
        <v>369</v>
      </c>
      <c r="B183" s="117"/>
      <c r="C183" s="118"/>
      <c r="D183" s="118"/>
      <c r="E183" s="118"/>
      <c r="F183" s="119"/>
      <c r="G183" s="324" t="s">
        <v>558</v>
      </c>
      <c r="H183" s="121"/>
      <c r="I183" s="122"/>
      <c r="J183" s="121" t="s">
        <v>456</v>
      </c>
      <c r="K183" s="121">
        <f>Jawaban!K183</f>
        <v>1</v>
      </c>
      <c r="L183" s="54">
        <f>Jawaban!L183</f>
        <v>0</v>
      </c>
      <c r="M183" s="100"/>
      <c r="N183" s="126">
        <v>1</v>
      </c>
      <c r="O183" s="114" t="str">
        <f t="shared" si="40"/>
        <v/>
      </c>
      <c r="P183" s="114"/>
      <c r="Q183" s="130"/>
      <c r="R183" s="51">
        <f>Jawaban!R183</f>
        <v>0</v>
      </c>
      <c r="S183" s="51">
        <f>Jawaban!S183</f>
        <v>0</v>
      </c>
      <c r="T183" s="51">
        <f>Jawaban!T183</f>
        <v>0</v>
      </c>
      <c r="U183" s="51">
        <f>Jawaban!U183</f>
        <v>0</v>
      </c>
      <c r="V183" s="51">
        <f>Jawaban!V183</f>
        <v>0</v>
      </c>
    </row>
    <row r="184" ht="15.75" customHeight="1" spans="1:22">
      <c r="A184" s="110">
        <v>370</v>
      </c>
      <c r="B184" s="117"/>
      <c r="C184" s="118"/>
      <c r="D184" s="118"/>
      <c r="E184" s="118"/>
      <c r="F184" s="119"/>
      <c r="G184" s="324" t="s">
        <v>559</v>
      </c>
      <c r="H184" s="121"/>
      <c r="I184" s="122"/>
      <c r="J184" s="121" t="s">
        <v>456</v>
      </c>
      <c r="K184" s="121">
        <f>Jawaban!K184</f>
        <v>1</v>
      </c>
      <c r="L184" s="54">
        <f>Jawaban!L184</f>
        <v>0</v>
      </c>
      <c r="M184" s="55"/>
      <c r="N184" s="126">
        <v>1</v>
      </c>
      <c r="O184" s="114" t="str">
        <f t="shared" si="40"/>
        <v/>
      </c>
      <c r="P184" s="114"/>
      <c r="Q184" s="127"/>
      <c r="R184" s="51">
        <f>Jawaban!R184</f>
        <v>0</v>
      </c>
      <c r="S184" s="51">
        <f>Jawaban!S184</f>
        <v>0</v>
      </c>
      <c r="T184" s="51">
        <f>Jawaban!T184</f>
        <v>0</v>
      </c>
      <c r="U184" s="51">
        <f>Jawaban!U184</f>
        <v>0</v>
      </c>
      <c r="V184" s="51">
        <f>Jawaban!V184</f>
        <v>0</v>
      </c>
    </row>
    <row r="185" ht="15.75" customHeight="1" spans="1:22">
      <c r="A185" s="110">
        <v>371</v>
      </c>
      <c r="B185" s="117"/>
      <c r="C185" s="118"/>
      <c r="D185" s="118"/>
      <c r="E185" s="118"/>
      <c r="F185" s="125"/>
      <c r="G185" s="324" t="s">
        <v>560</v>
      </c>
      <c r="H185" s="121"/>
      <c r="I185" s="122"/>
      <c r="J185" s="121" t="s">
        <v>456</v>
      </c>
      <c r="K185" s="121">
        <f>Jawaban!K185</f>
        <v>1</v>
      </c>
      <c r="L185" s="54">
        <f>Jawaban!L185</f>
        <v>0</v>
      </c>
      <c r="M185" s="55"/>
      <c r="N185" s="126">
        <v>1</v>
      </c>
      <c r="O185" s="114" t="str">
        <f t="shared" si="40"/>
        <v/>
      </c>
      <c r="P185" s="114"/>
      <c r="Q185" s="127"/>
      <c r="R185" s="51">
        <f>Jawaban!R185</f>
        <v>0</v>
      </c>
      <c r="S185" s="51">
        <f>Jawaban!S185</f>
        <v>0</v>
      </c>
      <c r="T185" s="51">
        <f>Jawaban!T185</f>
        <v>0</v>
      </c>
      <c r="U185" s="51">
        <f>Jawaban!U185</f>
        <v>0</v>
      </c>
      <c r="V185" s="51">
        <f>Jawaban!V185</f>
        <v>0</v>
      </c>
    </row>
    <row r="186" ht="15.75" customHeight="1" spans="1:22">
      <c r="A186" s="110">
        <v>372</v>
      </c>
      <c r="B186" s="117"/>
      <c r="C186" s="118"/>
      <c r="D186" s="118"/>
      <c r="E186" s="118"/>
      <c r="F186" s="325" t="s">
        <v>34</v>
      </c>
      <c r="G186" s="120" t="s">
        <v>552</v>
      </c>
      <c r="H186" s="121"/>
      <c r="I186" s="122"/>
      <c r="J186" s="121" t="s">
        <v>456</v>
      </c>
      <c r="K186" s="121">
        <f>Jawaban!K186</f>
        <v>3</v>
      </c>
      <c r="L186" s="54">
        <f>Jawaban!L186</f>
        <v>0</v>
      </c>
      <c r="M186" s="55"/>
      <c r="N186" s="126">
        <v>3</v>
      </c>
      <c r="O186" s="114" t="str">
        <f t="shared" si="40"/>
        <v/>
      </c>
      <c r="P186" s="114"/>
      <c r="Q186" s="127"/>
      <c r="R186" s="51">
        <f>Jawaban!R186</f>
        <v>0</v>
      </c>
      <c r="S186" s="51">
        <f>Jawaban!S186</f>
        <v>0</v>
      </c>
      <c r="T186" s="51">
        <f>Jawaban!T186</f>
        <v>0</v>
      </c>
      <c r="U186" s="51">
        <f>Jawaban!U186</f>
        <v>0</v>
      </c>
      <c r="V186" s="51">
        <f>Jawaban!V186</f>
        <v>0</v>
      </c>
    </row>
    <row r="187" ht="15.75" customHeight="1" spans="1:22">
      <c r="A187" s="12">
        <v>203</v>
      </c>
      <c r="B187" s="26"/>
      <c r="C187" s="27"/>
      <c r="D187" s="28" t="s">
        <v>21</v>
      </c>
      <c r="E187" s="29" t="s">
        <v>22</v>
      </c>
      <c r="F187" s="29"/>
      <c r="G187" s="30"/>
      <c r="H187" s="31">
        <v>5</v>
      </c>
      <c r="I187" s="32"/>
      <c r="J187" s="31"/>
      <c r="K187" s="31">
        <f>Jawaban!K187</f>
        <v>0</v>
      </c>
      <c r="L187" s="54">
        <f>Jawaban!L187</f>
        <v>0</v>
      </c>
      <c r="M187" s="55"/>
      <c r="N187" s="31"/>
      <c r="O187" s="31">
        <f>SUM(O188,O193)</f>
        <v>5</v>
      </c>
      <c r="P187" s="33">
        <f t="shared" ref="P187:P188" si="41">O187/H187</f>
        <v>1</v>
      </c>
      <c r="Q187" s="96"/>
      <c r="R187" s="51">
        <f>Jawaban!R187</f>
        <v>0</v>
      </c>
      <c r="S187" s="51">
        <f>Jawaban!S187</f>
        <v>0</v>
      </c>
      <c r="T187" s="51">
        <f>Jawaban!T187</f>
        <v>0</v>
      </c>
      <c r="U187" s="51">
        <f>Jawaban!U187</f>
        <v>0</v>
      </c>
      <c r="V187" s="51">
        <f>Jawaban!V187</f>
        <v>0</v>
      </c>
    </row>
    <row r="188" ht="15.75" customHeight="1" spans="1:22">
      <c r="A188" s="12">
        <v>204</v>
      </c>
      <c r="B188" s="30"/>
      <c r="C188" s="35"/>
      <c r="D188" s="35"/>
      <c r="E188" s="326" t="s">
        <v>52</v>
      </c>
      <c r="F188" s="29" t="s">
        <v>561</v>
      </c>
      <c r="G188" s="30"/>
      <c r="H188" s="36">
        <v>2.5</v>
      </c>
      <c r="I188" s="37"/>
      <c r="J188" s="36"/>
      <c r="K188" s="36">
        <f>Jawaban!K188</f>
        <v>0</v>
      </c>
      <c r="L188" s="54">
        <f>Jawaban!L188</f>
        <v>0</v>
      </c>
      <c r="M188" s="55"/>
      <c r="N188" s="36"/>
      <c r="O188" s="36">
        <f>AVERAGE(O189:O192)*H188</f>
        <v>2.5</v>
      </c>
      <c r="P188" s="38">
        <f t="shared" si="41"/>
        <v>1</v>
      </c>
      <c r="Q188" s="81"/>
      <c r="R188" s="51">
        <f>Jawaban!R188</f>
        <v>0</v>
      </c>
      <c r="S188" s="51">
        <f>Jawaban!S188</f>
        <v>0</v>
      </c>
      <c r="T188" s="51">
        <f>Jawaban!T188</f>
        <v>0</v>
      </c>
      <c r="U188" s="51">
        <f>Jawaban!U188</f>
        <v>0</v>
      </c>
      <c r="V188" s="51">
        <f>Jawaban!V188</f>
        <v>0</v>
      </c>
    </row>
    <row r="189" ht="273" customHeight="1" spans="1:22">
      <c r="A189" s="12">
        <v>205</v>
      </c>
      <c r="B189" s="29"/>
      <c r="C189" s="35"/>
      <c r="D189" s="35"/>
      <c r="E189" s="35"/>
      <c r="F189" s="321" t="s">
        <v>54</v>
      </c>
      <c r="G189" s="41" t="s">
        <v>562</v>
      </c>
      <c r="H189" s="42"/>
      <c r="I189" s="51" t="s">
        <v>563</v>
      </c>
      <c r="J189" s="59" t="s">
        <v>87</v>
      </c>
      <c r="K189" s="44" t="str">
        <f>Jawaban!K189</f>
        <v>A</v>
      </c>
      <c r="L189" s="51">
        <f>Jawaban!L189</f>
        <v>0</v>
      </c>
      <c r="M189" s="51" t="s">
        <v>564</v>
      </c>
      <c r="N189" s="46" t="s">
        <v>65</v>
      </c>
      <c r="O189" s="47">
        <f t="shared" ref="O189:O192" si="42">IF(J189="Ya/Tidak",IF(N189="Ya",1,IF(N189="Tidak",0,"Blm Diisi")),IF(J189="A/B/C",IF(N189="A",1,IF(N189="B",0.5,IF(N189="C",0,"Blm Diisi"))),IF(J189="A/B/C/D",IF(N189="A",1,IF(N189="B",0.67,IF(N189="C",0.33,IF(N189="D",0,"Blm Diisi")))),IF(J189="A/B/C/D/E",IF(N189="A",1,IF(N189="B",0.75,IF(N189="C",0.5,IF(N189="D",0.25,IF(N189="E",0,"Blm Diisi"))))),IF(J189="%",IF(N189="","Blm Diisi",N189),IF(J189="Jumlah",IF(N189="","Blm Diisi",""),IF(J189="Rupiah",IF(N189="","Blm Diisi",""),IF(J189="","","-"))))))))</f>
        <v>1</v>
      </c>
      <c r="P189" s="48"/>
      <c r="Q189" s="90"/>
      <c r="R189" s="50" t="str">
        <f>Jawaban!R189</f>
        <v>a. "Upaya dan/atau inovasi telah mendorong perbaikan pelayanan publik pada: 1. Kesesuaian Persyaratan; 2. Kemudahan Sistem, Mekanisme, dan Prosedur; 3. Kecepatan Waktu Penyelesaian; 4. Kejelasan Biaya/Tarif, Gratis; 5. Kualitas Produk Spesifikasi Jenis Pelayanan; 6. Kompetensi Pelaksana/Web; 7. Perilaku Pelaksana/Web; 8. Kualitas Sarana dan prasarana; 9. Penanganan Pengaduan, Saran dan Masukan."</v>
      </c>
      <c r="S189" s="51">
        <f>Jawaban!S189</f>
        <v>0</v>
      </c>
      <c r="T189" s="51">
        <f>Jawaban!T189</f>
        <v>0</v>
      </c>
      <c r="U189" s="51">
        <f>Jawaban!U189</f>
        <v>0</v>
      </c>
      <c r="V189" s="51">
        <f>Jawaban!V189</f>
        <v>0</v>
      </c>
    </row>
    <row r="190" ht="267" customHeight="1" spans="1:22">
      <c r="A190" s="12">
        <v>206</v>
      </c>
      <c r="B190" s="29"/>
      <c r="C190" s="35"/>
      <c r="D190" s="35"/>
      <c r="E190" s="35"/>
      <c r="F190" s="321" t="s">
        <v>61</v>
      </c>
      <c r="G190" s="322" t="s">
        <v>566</v>
      </c>
      <c r="H190" s="42"/>
      <c r="I190" s="41" t="s">
        <v>567</v>
      </c>
      <c r="J190" s="59" t="s">
        <v>452</v>
      </c>
      <c r="K190" s="97">
        <f>Jawaban!K190</f>
        <v>1</v>
      </c>
      <c r="L190" s="54">
        <f>Jawaban!L190</f>
        <v>0</v>
      </c>
      <c r="M190" s="41" t="s">
        <v>568</v>
      </c>
      <c r="N190" s="97">
        <f>N192/N191</f>
        <v>1</v>
      </c>
      <c r="O190" s="47">
        <f t="shared" si="42"/>
        <v>1</v>
      </c>
      <c r="P190" s="48"/>
      <c r="Q190" s="94"/>
      <c r="R190" s="50" t="str">
        <f>Jawaban!R190</f>
        <v>b. "Upaya dan/atau inovasi pada perijinan/pelayanan telah dipermudah: 1. Waktu lebih cepat; 2. Pelayanan Publik yang terpadu; 3. Alur lebih pendek/singkat; 4 Terintegrasi dengan aplikasi."</v>
      </c>
      <c r="S190" s="51">
        <f>Jawaban!S190</f>
        <v>0</v>
      </c>
      <c r="T190" s="51">
        <f>Jawaban!T190</f>
        <v>0</v>
      </c>
      <c r="U190" s="51">
        <f>Jawaban!U190</f>
        <v>0</v>
      </c>
      <c r="V190" s="51">
        <f>Jawaban!V190</f>
        <v>0</v>
      </c>
    </row>
    <row r="191" ht="15.75" customHeight="1" spans="1:22">
      <c r="A191" s="12">
        <v>207</v>
      </c>
      <c r="B191" s="29"/>
      <c r="C191" s="35"/>
      <c r="D191" s="35"/>
      <c r="E191" s="35"/>
      <c r="F191" s="40"/>
      <c r="G191" s="322" t="s">
        <v>570</v>
      </c>
      <c r="H191" s="42"/>
      <c r="I191" s="41"/>
      <c r="J191" s="59" t="s">
        <v>456</v>
      </c>
      <c r="K191" s="59">
        <f>Jawaban!K191</f>
        <v>1</v>
      </c>
      <c r="L191" s="51">
        <f>Jawaban!L191</f>
        <v>0</v>
      </c>
      <c r="M191" s="58"/>
      <c r="N191" s="99">
        <v>1</v>
      </c>
      <c r="O191" s="47" t="str">
        <f t="shared" si="42"/>
        <v/>
      </c>
      <c r="P191" s="48"/>
      <c r="Q191" s="90"/>
      <c r="R191" s="51">
        <f>Jawaban!R191</f>
        <v>0</v>
      </c>
      <c r="S191" s="51">
        <f>Jawaban!S191</f>
        <v>0</v>
      </c>
      <c r="T191" s="51">
        <f>Jawaban!T191</f>
        <v>0</v>
      </c>
      <c r="U191" s="51">
        <f>Jawaban!U191</f>
        <v>0</v>
      </c>
      <c r="V191" s="51">
        <f>Jawaban!V191</f>
        <v>0</v>
      </c>
    </row>
    <row r="192" ht="15.75" customHeight="1" spans="1:22">
      <c r="A192" s="12">
        <v>208</v>
      </c>
      <c r="B192" s="29"/>
      <c r="C192" s="35"/>
      <c r="D192" s="35"/>
      <c r="E192" s="35"/>
      <c r="F192" s="40"/>
      <c r="G192" s="322" t="s">
        <v>571</v>
      </c>
      <c r="H192" s="42"/>
      <c r="I192" s="41"/>
      <c r="J192" s="59" t="s">
        <v>456</v>
      </c>
      <c r="K192" s="59">
        <f>Jawaban!K192</f>
        <v>1</v>
      </c>
      <c r="L192" s="51">
        <f>Jawaban!L192</f>
        <v>0</v>
      </c>
      <c r="M192" s="58"/>
      <c r="N192" s="99">
        <v>1</v>
      </c>
      <c r="O192" s="47" t="str">
        <f t="shared" si="42"/>
        <v/>
      </c>
      <c r="P192" s="48"/>
      <c r="Q192" s="90"/>
      <c r="R192" s="51">
        <f>Jawaban!R192</f>
        <v>0</v>
      </c>
      <c r="S192" s="51">
        <f>Jawaban!S192</f>
        <v>0</v>
      </c>
      <c r="T192" s="51">
        <f>Jawaban!T192</f>
        <v>0</v>
      </c>
      <c r="U192" s="51">
        <f>Jawaban!U192</f>
        <v>0</v>
      </c>
      <c r="V192" s="51">
        <f>Jawaban!V192</f>
        <v>0</v>
      </c>
    </row>
    <row r="193" ht="15.75" customHeight="1" spans="1:22">
      <c r="A193" s="12">
        <v>209</v>
      </c>
      <c r="B193" s="30"/>
      <c r="C193" s="35"/>
      <c r="D193" s="35"/>
      <c r="E193" s="326" t="s">
        <v>68</v>
      </c>
      <c r="F193" s="131" t="s">
        <v>572</v>
      </c>
      <c r="G193" s="132"/>
      <c r="H193" s="36">
        <v>2.5</v>
      </c>
      <c r="I193" s="37"/>
      <c r="J193" s="36"/>
      <c r="K193" s="36">
        <f>Jawaban!K193</f>
        <v>0</v>
      </c>
      <c r="L193" s="54">
        <f>Jawaban!L193</f>
        <v>0</v>
      </c>
      <c r="M193" s="100"/>
      <c r="N193" s="36"/>
      <c r="O193" s="36">
        <f>AVERAGE(O194)*H193</f>
        <v>2.5</v>
      </c>
      <c r="P193" s="38">
        <f>O193/H193</f>
        <v>1</v>
      </c>
      <c r="Q193" s="81"/>
      <c r="R193" s="51">
        <f>Jawaban!R193</f>
        <v>0</v>
      </c>
      <c r="S193" s="51">
        <f>Jawaban!S193</f>
        <v>0</v>
      </c>
      <c r="T193" s="51">
        <f>Jawaban!T193</f>
        <v>0</v>
      </c>
      <c r="U193" s="51">
        <f>Jawaban!U193</f>
        <v>0</v>
      </c>
      <c r="V193" s="51">
        <f>Jawaban!V193</f>
        <v>0</v>
      </c>
    </row>
    <row r="194" ht="15.75" customHeight="1" spans="1:22">
      <c r="A194" s="12">
        <v>210</v>
      </c>
      <c r="B194" s="29"/>
      <c r="C194" s="35"/>
      <c r="D194" s="35"/>
      <c r="E194" s="35"/>
      <c r="F194" s="321" t="s">
        <v>34</v>
      </c>
      <c r="G194" s="322" t="s">
        <v>573</v>
      </c>
      <c r="H194" s="42"/>
      <c r="I194" s="51" t="s">
        <v>574</v>
      </c>
      <c r="J194" s="59" t="s">
        <v>87</v>
      </c>
      <c r="K194" s="44" t="str">
        <f>Jawaban!K194</f>
        <v>A</v>
      </c>
      <c r="L194" s="51">
        <f>Jawaban!L194</f>
        <v>0</v>
      </c>
      <c r="M194" s="51" t="s">
        <v>575</v>
      </c>
      <c r="N194" s="46" t="s">
        <v>65</v>
      </c>
      <c r="O194" s="133">
        <f>IF(J194="Ya/Tidak",IF(N194="Ya",1,IF(N194="Tidak",0,"Blm Diisi")),IF(J194="A/B/C",IF(N194="A",1,IF(N194="B",0.5,IF(N194="C",0,"Blm Diisi"))),IF(J194="A/B/C/D",IF(N194="A",1,IF(N194="B",0.67,IF(N194="C",0.33,IF(N194="D",0,"Blm Diisi")))),IF(J194="A/B/C/D/E",IF(N194="A",1,IF(N194="B",0.75,IF(N194="C",0.5,IF(N194="D",0.25,IF(N194="E",0,"Blm Diisi"))))),IF(J194="%",IF(N194="","Blm Diisi",N194),IF(J194="Jumlah",IF(N194="","Blm Diisi",""),IF(J194="Rupiah",IF(N194="","Blm Diisi",""),IF(J194="","","-"))))))))</f>
        <v>1</v>
      </c>
      <c r="P194" s="48"/>
      <c r="Q194" s="90"/>
      <c r="R194" s="50" t="str">
        <f>Jawaban!R194</f>
        <v>Penanganan pengaduan pelayanan dilakukan melalui berbagai kanal/media secara responsif dan bertanggung jawab.</v>
      </c>
      <c r="S194" s="51">
        <f>Jawaban!S194</f>
        <v>0</v>
      </c>
      <c r="T194" s="51">
        <f>Jawaban!T194</f>
        <v>0</v>
      </c>
      <c r="U194" s="51">
        <f>Jawaban!U194</f>
        <v>0</v>
      </c>
      <c r="V194" s="51">
        <f>Jawaban!V194</f>
        <v>0</v>
      </c>
    </row>
    <row r="195" ht="15.75" customHeight="1" spans="1:22">
      <c r="A195" s="12">
        <v>211</v>
      </c>
      <c r="B195" s="14" t="s">
        <v>23</v>
      </c>
      <c r="C195" s="14"/>
      <c r="D195" s="14"/>
      <c r="E195" s="14"/>
      <c r="F195" s="14"/>
      <c r="G195" s="15"/>
      <c r="H195" s="15"/>
      <c r="I195" s="15"/>
      <c r="J195" s="16"/>
      <c r="K195" s="16">
        <f>Jawaban!K195</f>
        <v>0</v>
      </c>
      <c r="L195" s="54">
        <f>Jawaban!L195</f>
        <v>0</v>
      </c>
      <c r="M195" s="55"/>
      <c r="N195" s="16"/>
      <c r="O195" s="16">
        <f>SUM(O122,O3)</f>
        <v>60</v>
      </c>
      <c r="P195" s="18"/>
      <c r="Q195" s="134"/>
      <c r="R195" s="51">
        <f>Jawaban!R195</f>
        <v>0</v>
      </c>
      <c r="S195" s="51">
        <f>Jawaban!S195</f>
        <v>0</v>
      </c>
      <c r="T195" s="51">
        <f>Jawaban!T195</f>
        <v>0</v>
      </c>
      <c r="U195" s="51">
        <f>Jawaban!U195</f>
        <v>0</v>
      </c>
      <c r="V195" s="51">
        <f>Jawaban!V195</f>
        <v>0</v>
      </c>
    </row>
    <row r="196" ht="15.75" customHeight="1" spans="1:22">
      <c r="A196" s="12">
        <v>212</v>
      </c>
      <c r="B196" s="135"/>
      <c r="C196" s="136"/>
      <c r="D196" s="136"/>
      <c r="E196" s="12"/>
      <c r="F196" s="12"/>
      <c r="G196" s="137"/>
      <c r="H196" s="138"/>
      <c r="I196" s="12"/>
      <c r="J196" s="139"/>
      <c r="K196" s="139">
        <f>Jawaban!K196</f>
        <v>0</v>
      </c>
      <c r="L196" s="54">
        <f>Jawaban!L196</f>
        <v>0</v>
      </c>
      <c r="M196" s="93"/>
      <c r="N196" s="139"/>
      <c r="O196" s="139"/>
      <c r="P196" s="140"/>
      <c r="Q196" s="141"/>
      <c r="R196" s="51">
        <f>Jawaban!R196</f>
        <v>0</v>
      </c>
      <c r="S196" s="51">
        <f>Jawaban!S196</f>
        <v>0</v>
      </c>
      <c r="T196" s="51">
        <f>Jawaban!T196</f>
        <v>0</v>
      </c>
      <c r="U196" s="51">
        <f>Jawaban!U196</f>
        <v>0</v>
      </c>
      <c r="V196" s="51">
        <f>Jawaban!V196</f>
        <v>0</v>
      </c>
    </row>
    <row r="197" ht="15.75" customHeight="1" spans="1:22">
      <c r="A197" s="12">
        <v>214</v>
      </c>
      <c r="B197" s="13" t="s">
        <v>24</v>
      </c>
      <c r="C197" s="14" t="s">
        <v>25</v>
      </c>
      <c r="D197" s="14"/>
      <c r="E197" s="14"/>
      <c r="F197" s="14"/>
      <c r="G197" s="15"/>
      <c r="H197" s="22">
        <v>40</v>
      </c>
      <c r="I197" s="15"/>
      <c r="J197" s="16"/>
      <c r="K197" s="16">
        <f>Jawaban!K197</f>
        <v>0</v>
      </c>
      <c r="L197" s="54">
        <f>Jawaban!L197</f>
        <v>0</v>
      </c>
      <c r="M197" s="55"/>
      <c r="N197" s="16"/>
      <c r="O197" s="16">
        <f>O203</f>
        <v>40</v>
      </c>
      <c r="P197" s="18">
        <f t="shared" ref="P197:P198" si="43">O197/H197</f>
        <v>1</v>
      </c>
      <c r="Q197" s="134"/>
      <c r="R197" s="51">
        <f>Jawaban!R197</f>
        <v>0</v>
      </c>
      <c r="S197" s="51">
        <f>Jawaban!S197</f>
        <v>0</v>
      </c>
      <c r="T197" s="51">
        <f>Jawaban!T197</f>
        <v>0</v>
      </c>
      <c r="U197" s="51">
        <f>Jawaban!U197</f>
        <v>0</v>
      </c>
      <c r="V197" s="51">
        <f>Jawaban!V197</f>
        <v>0</v>
      </c>
    </row>
    <row r="198" ht="15.75" customHeight="1" spans="1:22">
      <c r="A198" s="12">
        <v>215</v>
      </c>
      <c r="B198" s="20"/>
      <c r="C198" s="21" t="s">
        <v>26</v>
      </c>
      <c r="D198" s="14" t="s">
        <v>27</v>
      </c>
      <c r="E198" s="14"/>
      <c r="F198" s="14"/>
      <c r="G198" s="15"/>
      <c r="H198" s="22">
        <v>22.5</v>
      </c>
      <c r="I198" s="23"/>
      <c r="J198" s="22"/>
      <c r="K198" s="22">
        <f>Jawaban!K198</f>
        <v>0</v>
      </c>
      <c r="L198" s="54">
        <f>Jawaban!L198</f>
        <v>0</v>
      </c>
      <c r="M198" s="55"/>
      <c r="N198" s="22"/>
      <c r="O198" s="22">
        <f>SUM(O199,O200)</f>
        <v>22.5</v>
      </c>
      <c r="P198" s="24">
        <f t="shared" si="43"/>
        <v>1</v>
      </c>
      <c r="Q198" s="142"/>
      <c r="R198" s="51">
        <f>Jawaban!R198</f>
        <v>0</v>
      </c>
      <c r="S198" s="51">
        <f>Jawaban!S198</f>
        <v>0</v>
      </c>
      <c r="T198" s="51">
        <f>Jawaban!T198</f>
        <v>0</v>
      </c>
      <c r="U198" s="51">
        <f>Jawaban!U198</f>
        <v>0</v>
      </c>
      <c r="V198" s="51">
        <f>Jawaban!V198</f>
        <v>0</v>
      </c>
    </row>
    <row r="199" ht="15.75" customHeight="1" spans="1:22">
      <c r="A199" s="12">
        <v>216</v>
      </c>
      <c r="B199" s="143"/>
      <c r="C199" s="144"/>
      <c r="D199" s="327" t="s">
        <v>28</v>
      </c>
      <c r="E199" s="86" t="s">
        <v>576</v>
      </c>
      <c r="F199" s="86"/>
      <c r="G199" s="41"/>
      <c r="H199" s="121">
        <v>17.5</v>
      </c>
      <c r="I199" s="122" t="s">
        <v>577</v>
      </c>
      <c r="J199" s="121" t="s">
        <v>578</v>
      </c>
      <c r="K199" s="121">
        <f>Jawaban!K199</f>
        <v>4</v>
      </c>
      <c r="L199" s="51">
        <f>Jawaban!L199</f>
        <v>0</v>
      </c>
      <c r="M199" s="122" t="s">
        <v>579</v>
      </c>
      <c r="N199" s="126">
        <v>4</v>
      </c>
      <c r="O199" s="121">
        <f>IF(N199="","Blm Diisi",N199/4)*H199</f>
        <v>17.5</v>
      </c>
      <c r="P199" s="123"/>
      <c r="Q199" s="146"/>
      <c r="R199" s="50" t="str">
        <f>Jawaban!R199</f>
        <v>a. Nilai Survey Persepsi Korupsi (Survei Eksternal).</v>
      </c>
      <c r="S199" s="51">
        <f>Jawaban!S199</f>
        <v>0</v>
      </c>
      <c r="T199" s="51">
        <f>Jawaban!T199</f>
        <v>0</v>
      </c>
      <c r="U199" s="51">
        <f>Jawaban!U199</f>
        <v>0</v>
      </c>
      <c r="V199" s="51">
        <f>Jawaban!V199</f>
        <v>0</v>
      </c>
    </row>
    <row r="200" ht="247.5" customHeight="1" spans="1:22">
      <c r="A200" s="12">
        <v>217</v>
      </c>
      <c r="B200" s="143"/>
      <c r="C200" s="144"/>
      <c r="D200" s="327" t="s">
        <v>30</v>
      </c>
      <c r="E200" s="86" t="s">
        <v>581</v>
      </c>
      <c r="F200" s="86"/>
      <c r="G200" s="41"/>
      <c r="H200" s="121">
        <v>5</v>
      </c>
      <c r="I200" s="122" t="s">
        <v>582</v>
      </c>
      <c r="J200" s="59" t="s">
        <v>124</v>
      </c>
      <c r="K200" s="44" t="str">
        <f>Jawaban!K200</f>
        <v>A</v>
      </c>
      <c r="L200" s="51">
        <f>Jawaban!L200</f>
        <v>0</v>
      </c>
      <c r="M200" s="122" t="s">
        <v>583</v>
      </c>
      <c r="N200" s="46" t="s">
        <v>65</v>
      </c>
      <c r="O200" s="121">
        <f>IF(J200="Ya/Tidak",IF(N200="Ya",1,IF(N200="Tidak",0,"Blm Diisi")),IF(J200="A/B/C",IF(N200="A",1,IF(N200="B",0.5,IF(N200="C",0,"Blm Diisi"))),IF(J200="A/B/C/D",IF(N200="A",1,IF(N200="B",0.67,IF(N200="C",0.33,IF(N200="D",0,"Blm Diisi")))),IF(J200="A/B/C/D/E",IF(N200="A",1,IF(N200="B",0.75,IF(N200="C",0.5,IF(N200="D",0.25,IF(N200="E",0,"Blm Diisi"))))),IF(J200="%",IF(N200="","Blm Diisi",N200),IF(J200="Jumlah",IF(N200="","Blm Diisi",""),IF(J200="Rupiah",IF(N200="","Blm Diisi",""),IF(J200="","","-"))))))))*H200</f>
        <v>5</v>
      </c>
      <c r="P200" s="123"/>
      <c r="Q200" s="146"/>
      <c r="R200" s="50" t="str">
        <f>Jawaban!R200</f>
        <v>b. Capaian Kinerja Lebih Baik dari pada Capaian Kinerja Sebelumnya.</v>
      </c>
      <c r="S200" s="51">
        <f>Jawaban!S200</f>
        <v>0</v>
      </c>
      <c r="T200" s="51">
        <f>Jawaban!T200</f>
        <v>0</v>
      </c>
      <c r="U200" s="51">
        <f>Jawaban!U200</f>
        <v>0</v>
      </c>
      <c r="V200" s="51">
        <f>Jawaban!V200</f>
        <v>0</v>
      </c>
    </row>
    <row r="201" ht="15.75" customHeight="1" spans="1:22">
      <c r="A201" s="12">
        <v>218</v>
      </c>
      <c r="B201" s="20"/>
      <c r="C201" s="21" t="s">
        <v>32</v>
      </c>
      <c r="D201" s="14" t="s">
        <v>33</v>
      </c>
      <c r="E201" s="14"/>
      <c r="F201" s="14"/>
      <c r="G201" s="15"/>
      <c r="H201" s="22">
        <v>17.5</v>
      </c>
      <c r="I201" s="23"/>
      <c r="J201" s="22"/>
      <c r="K201" s="22">
        <f>Jawaban!K201</f>
        <v>0</v>
      </c>
      <c r="L201" s="54">
        <f>Jawaban!L201</f>
        <v>0</v>
      </c>
      <c r="M201" s="100"/>
      <c r="N201" s="22"/>
      <c r="O201" s="22">
        <f>SUM(O202)</f>
        <v>17.5</v>
      </c>
      <c r="P201" s="24">
        <f>O201/H201</f>
        <v>1</v>
      </c>
      <c r="Q201" s="142"/>
      <c r="R201" s="51">
        <f>Jawaban!R201</f>
        <v>0</v>
      </c>
      <c r="S201" s="51">
        <f>Jawaban!S201</f>
        <v>0</v>
      </c>
      <c r="T201" s="51">
        <f>Jawaban!T201</f>
        <v>0</v>
      </c>
      <c r="U201" s="51">
        <f>Jawaban!U201</f>
        <v>0</v>
      </c>
      <c r="V201" s="51">
        <f>Jawaban!V201</f>
        <v>0</v>
      </c>
    </row>
    <row r="202" ht="15.75" customHeight="1" spans="1:22">
      <c r="A202" s="12">
        <v>219</v>
      </c>
      <c r="B202" s="147"/>
      <c r="C202" s="148"/>
      <c r="D202" s="328" t="s">
        <v>34</v>
      </c>
      <c r="E202" s="150" t="s">
        <v>585</v>
      </c>
      <c r="F202" s="150"/>
      <c r="G202" s="151"/>
      <c r="H202" s="152">
        <v>17.5</v>
      </c>
      <c r="I202" s="153" t="s">
        <v>586</v>
      </c>
      <c r="J202" s="152" t="s">
        <v>578</v>
      </c>
      <c r="K202" s="152">
        <f>Jawaban!K202</f>
        <v>4</v>
      </c>
      <c r="L202" s="51">
        <f>Jawaban!L202</f>
        <v>0</v>
      </c>
      <c r="M202" s="153" t="s">
        <v>587</v>
      </c>
      <c r="N202" s="154">
        <v>4</v>
      </c>
      <c r="O202" s="152">
        <f>IF(N202="","Blm Diisi",N202/4)*H202</f>
        <v>17.5</v>
      </c>
      <c r="P202" s="155"/>
      <c r="Q202" s="156"/>
      <c r="R202" s="50" t="str">
        <f>Jawaban!R202</f>
        <v>Nilai Persepsi Kualitas Pelayanan (Survei Eksternal).</v>
      </c>
      <c r="S202" s="51">
        <f>Jawaban!S202</f>
        <v>0</v>
      </c>
      <c r="T202" s="51">
        <f>Jawaban!T202</f>
        <v>0</v>
      </c>
      <c r="U202" s="51">
        <f>Jawaban!U202</f>
        <v>0</v>
      </c>
      <c r="V202" s="51">
        <f>Jawaban!V202</f>
        <v>0</v>
      </c>
    </row>
    <row r="203" ht="15.75" customHeight="1" spans="1:22">
      <c r="A203" s="12">
        <v>221</v>
      </c>
      <c r="B203" s="157" t="s">
        <v>36</v>
      </c>
      <c r="C203" s="7"/>
      <c r="D203" s="7"/>
      <c r="E203" s="7"/>
      <c r="F203" s="7"/>
      <c r="G203" s="8"/>
      <c r="H203" s="13"/>
      <c r="I203" s="13"/>
      <c r="J203" s="16"/>
      <c r="K203" s="16"/>
      <c r="L203" s="158"/>
      <c r="M203" s="16"/>
      <c r="N203" s="16"/>
      <c r="O203" s="16">
        <f>SUM(O198,O201)</f>
        <v>40</v>
      </c>
      <c r="P203" s="18"/>
      <c r="Q203" s="134"/>
      <c r="R203" s="134"/>
      <c r="S203" s="19"/>
      <c r="T203" s="19"/>
      <c r="U203" s="19"/>
      <c r="V203" s="19"/>
    </row>
    <row r="204" ht="15.75" customHeight="1" spans="1:22">
      <c r="A204" s="159">
        <v>223</v>
      </c>
      <c r="B204" s="160" t="s">
        <v>604</v>
      </c>
      <c r="C204" s="161"/>
      <c r="D204" s="161"/>
      <c r="E204" s="161"/>
      <c r="F204" s="161"/>
      <c r="G204" s="162"/>
      <c r="H204" s="163"/>
      <c r="I204" s="163"/>
      <c r="J204" s="163"/>
      <c r="K204" s="163"/>
      <c r="L204" s="163"/>
      <c r="M204" s="163"/>
      <c r="N204" s="163"/>
      <c r="O204" s="164">
        <f>SUM(O195,O203)</f>
        <v>100</v>
      </c>
      <c r="P204" s="165"/>
      <c r="Q204" s="166"/>
      <c r="R204" s="167" t="s">
        <v>589</v>
      </c>
      <c r="S204" s="168"/>
      <c r="T204" s="167"/>
      <c r="U204" s="167"/>
      <c r="V204" s="167"/>
    </row>
    <row r="205" ht="15.75" customHeight="1" spans="1:22">
      <c r="A205" s="12"/>
      <c r="B205" s="169"/>
      <c r="C205" s="169"/>
      <c r="D205" s="169"/>
      <c r="E205" s="169"/>
      <c r="F205" s="169"/>
      <c r="G205" s="170"/>
      <c r="H205" s="171"/>
      <c r="I205" s="171"/>
      <c r="J205" s="171"/>
      <c r="K205" s="171"/>
      <c r="L205" s="171"/>
      <c r="M205" s="171"/>
      <c r="N205" s="171"/>
      <c r="O205" s="172"/>
      <c r="P205" s="173"/>
      <c r="Q205" s="174"/>
      <c r="R205" s="175"/>
      <c r="S205" s="175"/>
      <c r="T205" s="175"/>
      <c r="U205" s="175"/>
      <c r="V205" s="175"/>
    </row>
  </sheetData>
  <mergeCells count="3">
    <mergeCell ref="B1:G1"/>
    <mergeCell ref="F173:G173"/>
    <mergeCell ref="B203:G203"/>
  </mergeCells>
  <dataValidations count="6">
    <dataValidation type="list" allowBlank="1" showErrorMessage="1" sqref="K6 N6 K9 N9 K17 N17 K36 N36 K38 N38 K40 N40 K42 N42 K44 N44 K54 N54 K69 N69 K71 N71 K84 N84 K102 N102 K120 N120 K65:K67 N65:N67">
      <formula1>"Ya,Tidak"</formula1>
    </dataValidation>
    <dataValidation type="list" allowBlank="1" showErrorMessage="1" sqref="K7 N7 K49 N49 K58 N58 K70 N70 K72 N72 K75 N75 K83 N83 K116 N116 K121 N121 K147 N147 K149 N149 K10:K11 K18:K19 K27:K30 K32:K33 K61:K62 K80:K81 K85:K86 K88:K90 K95:K96 K112:K113 K139:K140 N10:N11 N18:N19 N27:N30 N32:N33 N61:N62 N80:N81 N85:N86 N88:N90 N95:N96 N112:N113 N139:N140">
      <formula1>"A,B,C"</formula1>
    </dataValidation>
    <dataValidation type="list" allowBlank="1" showErrorMessage="1" sqref="K20 N20 K23 N23 K37 N37 K56 N56 K63 N63 K68 N68 K76 N76 K117 N117 K119 N119 K134 N134 K137 N137 K161 N161 K163 N163 K189 N189 K194 N194 K13:K15 K45:K48 K51:K52 K92:K94 K100:K101 K105:K108 N13:N15 N45:N48 N51:N52 N92:N94 N100:N101 N105:N108">
      <formula1>"A,B,C,D"</formula1>
    </dataValidation>
    <dataValidation type="list" allowBlank="1" showErrorMessage="1" sqref="K41 N41 K53 N53 K99 N99 K104 N104 K109 N109 K111 N111 K115 N115 K132 N132 K166 N166 K200 N200 K24:K25 K78:K79 K142:K144 N24:N25 N78:N79 N142:N144">
      <formula1>"A,B,C,D,E"</formula1>
    </dataValidation>
    <dataValidation type="decimal" operator="greaterThanOrEqual" allowBlank="1" showErrorMessage="1" sqref="K87 N87 K91 N91 K103 N103 K110 N110 K114 N114 K133 N133 K138 N138 K141 N141 K148 N148 K150 N150 K167 N167 K97:K98 K122:K124 K126:K127 K129:K131 K135:K136 K145:K146 K152:K156 K158:K159 K169:K172 K191:K192 N97:N98 N122:N124 N126:N127 N129:N131 N135:N136 N145:N146 N152:N156 N158:N159 N169:N172 N191:N192">
      <formula1>0</formula1>
    </dataValidation>
    <dataValidation type="decimal" operator="between" allowBlank="1" showErrorMessage="1" sqref="K199 N199 K201:K202 N201:N202">
      <formula1>0</formula1>
      <formula2>4</formula2>
    </dataValidation>
  </dataValidations>
  <pageMargins left="0.708661417322835" right="0.708661417322835" top="0.748031496062992" bottom="0.748031496062992" header="0" footer="0"/>
  <pageSetup paperSize="5" fitToHeight="0"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FF"/>
    <outlinePr summaryBelow="0" summaryRight="0"/>
  </sheetPr>
  <dimension ref="A1:D5"/>
  <sheetViews>
    <sheetView workbookViewId="0">
      <selection activeCell="A1" sqref="A1:D1"/>
    </sheetView>
  </sheetViews>
  <sheetFormatPr defaultColWidth="14.4285714285714" defaultRowHeight="15" customHeight="1" outlineLevelRow="4" outlineLevelCol="3"/>
  <cols>
    <col min="1" max="1" width="6" customWidth="1"/>
    <col min="2" max="2" width="77.1428571428571" customWidth="1"/>
  </cols>
  <sheetData>
    <row r="1" customHeight="1" spans="1:4">
      <c r="A1" s="1" t="s">
        <v>605</v>
      </c>
    </row>
    <row r="2" customHeight="1" spans="1:4">
      <c r="A2">
        <v>1</v>
      </c>
      <c r="B2" t="s">
        <v>606</v>
      </c>
    </row>
    <row r="3" customHeight="1" spans="1:4">
      <c r="A3">
        <v>2</v>
      </c>
      <c r="B3" t="s">
        <v>607</v>
      </c>
      <c r="C3" s="2"/>
      <c r="D3" t="s">
        <v>608</v>
      </c>
    </row>
    <row r="4" customHeight="1" spans="1:4">
      <c r="A4">
        <v>3</v>
      </c>
      <c r="B4" t="s">
        <v>609</v>
      </c>
      <c r="C4" s="3"/>
      <c r="D4" t="s">
        <v>610</v>
      </c>
    </row>
    <row r="5" customHeight="1" spans="1:4">
      <c r="A5">
        <v>4</v>
      </c>
      <c r="B5" t="s">
        <v>611</v>
      </c>
      <c r="C5" s="4"/>
      <c r="D5" t="s">
        <v>612</v>
      </c>
    </row>
  </sheetData>
  <mergeCells count="1">
    <mergeCell ref="A1:D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5</vt:i4>
      </vt:variant>
    </vt:vector>
  </HeadingPairs>
  <TitlesOfParts>
    <vt:vector size="5" baseType="lpstr">
      <vt:lpstr>Utama</vt:lpstr>
      <vt:lpstr>Jawaban</vt:lpstr>
      <vt:lpstr>Jawaban dari Kanwil</vt:lpstr>
      <vt:lpstr>Jawaban dari Unit Eselon 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Winny Febrianty Ruhimat</cp:lastModifiedBy>
  <dcterms:created xsi:type="dcterms:W3CDTF">2026-04-04T12:11:11Z</dcterms:created>
  <dcterms:modified xsi:type="dcterms:W3CDTF">2026-04-04T12:26:54Z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C818775E215B487C893E49C0B400C000_12</vt:lpwstr>
  </property>
  <property fmtid="{D5CDD505-2E9C-101B-9397-08002B2CF9AE}" pid="3" name="KSOProductBuildVer">
    <vt:lpwstr>1033-12.1.0.25242</vt:lpwstr>
  </property>
  <property fmtid="{D5CDD505-2E9C-101B-9397-08002B2CF9AE}" pid="4" name="CalculationRule">
    <vt:i4>0</vt:i4>
  </property>
</Properties>
</file>